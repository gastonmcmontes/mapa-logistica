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avenna\Downloads\"/>
    </mc:Choice>
  </mc:AlternateContent>
  <xr:revisionPtr revIDLastSave="0" documentId="13_ncr:1_{EFE0A4B9-C0F9-46CF-985E-3649A3FDBF2A}" xr6:coauthVersionLast="47" xr6:coauthVersionMax="47" xr10:uidLastSave="{00000000-0000-0000-0000-000000000000}"/>
  <bookViews>
    <workbookView xWindow="-108" yWindow="-108" windowWidth="23256" windowHeight="12576" xr2:uid="{BF26D12B-55E7-470B-BD74-21D3245DC7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<sst xmlns="http://schemas.openxmlformats.org/spreadsheetml/2006/main" count="141" uniqueCount="101">
  <si>
    <t>Unidad operativa</t>
  </si>
  <si>
    <t>Cod de Planta</t>
  </si>
  <si>
    <t>Region</t>
  </si>
  <si>
    <t>Dotacion actual</t>
  </si>
  <si>
    <t>FV</t>
  </si>
  <si>
    <t>SLA</t>
  </si>
  <si>
    <t>Latitud</t>
  </si>
  <si>
    <t>Longitud</t>
  </si>
  <si>
    <t>CLOG NEUQUEN</t>
  </si>
  <si>
    <t>C12</t>
  </si>
  <si>
    <t>SUR</t>
  </si>
  <si>
    <t>CTP COM. RIVADAVIA</t>
  </si>
  <si>
    <t>CRD</t>
  </si>
  <si>
    <t>CTP TRELEW</t>
  </si>
  <si>
    <t>REL</t>
  </si>
  <si>
    <t>CLOG RIO GALLEGOS</t>
  </si>
  <si>
    <t>C15</t>
  </si>
  <si>
    <t>CTP BARILOCHE</t>
  </si>
  <si>
    <t>BRC</t>
  </si>
  <si>
    <t>CLOG LA PLATA</t>
  </si>
  <si>
    <t>C14</t>
  </si>
  <si>
    <t>PBA / LA PAMPA</t>
  </si>
  <si>
    <t>CLOG BAHIA BLANCA</t>
  </si>
  <si>
    <t>CL4</t>
  </si>
  <si>
    <t>CLOG MAR DEL PLATA</t>
  </si>
  <si>
    <t>CL3</t>
  </si>
  <si>
    <t>CTP MERCEDES</t>
  </si>
  <si>
    <t>MER</t>
  </si>
  <si>
    <t>CTP PERGAMINO</t>
  </si>
  <si>
    <t>PER</t>
  </si>
  <si>
    <t>CTP SANTA ROSA</t>
  </si>
  <si>
    <t>RSA</t>
  </si>
  <si>
    <t>CLOG MENDOZA</t>
  </si>
  <si>
    <t>CL6</t>
  </si>
  <si>
    <t>CUYO - NOA</t>
  </si>
  <si>
    <t>CTP SAN JUAN</t>
  </si>
  <si>
    <t>UAQ</t>
  </si>
  <si>
    <t>CTP SAN LUIS</t>
  </si>
  <si>
    <t>LUQ</t>
  </si>
  <si>
    <t>CTP CATAMARCA</t>
  </si>
  <si>
    <t>CTC</t>
  </si>
  <si>
    <t>CLOG LA RIOJA</t>
  </si>
  <si>
    <t>CL8</t>
  </si>
  <si>
    <t>CTP JUJUY</t>
  </si>
  <si>
    <t>JUJ</t>
  </si>
  <si>
    <t>CLOG SALTA</t>
  </si>
  <si>
    <t>CL5</t>
  </si>
  <si>
    <t>CLOG SANTIAGO DEL ESTERO</t>
  </si>
  <si>
    <t>C11</t>
  </si>
  <si>
    <t>CLOG TUCUMAN</t>
  </si>
  <si>
    <t>C10</t>
  </si>
  <si>
    <t>CLOG ROSARIO</t>
  </si>
  <si>
    <t>ROL</t>
  </si>
  <si>
    <t>CENTRO - NEA</t>
  </si>
  <si>
    <t>CLOG SANTA FE</t>
  </si>
  <si>
    <t>CL9</t>
  </si>
  <si>
    <t>CLOG POSADAS</t>
  </si>
  <si>
    <t>C13</t>
  </si>
  <si>
    <t>CLOG CORRIENTES</t>
  </si>
  <si>
    <t>NCQ</t>
  </si>
  <si>
    <t>CLOG CORDOBA</t>
  </si>
  <si>
    <t>CL7</t>
  </si>
  <si>
    <t>CLOG PARANA</t>
  </si>
  <si>
    <t>NIJ</t>
  </si>
  <si>
    <t>CLOG RESISTENCIA</t>
  </si>
  <si>
    <t>RPQ</t>
  </si>
  <si>
    <t>CT VILLA MARIA</t>
  </si>
  <si>
    <t>VMR</t>
  </si>
  <si>
    <t>CT RIO CUARTO</t>
  </si>
  <si>
    <t>RCU</t>
  </si>
  <si>
    <t>CDP CABA SUR</t>
  </si>
  <si>
    <t>DP2</t>
  </si>
  <si>
    <t>METROPOLITANA</t>
  </si>
  <si>
    <t>CENTRO PAQUETERIA QUILMES</t>
  </si>
  <si>
    <t>DP3</t>
  </si>
  <si>
    <t>CDP MERCADO CENTRAL</t>
  </si>
  <si>
    <t>DP4</t>
  </si>
  <si>
    <t>CENTRO PAQUETERIA MORENO</t>
  </si>
  <si>
    <t>DP5</t>
  </si>
  <si>
    <t>PAQUETERIA VICENTE LOPEZ</t>
  </si>
  <si>
    <t>DP6</t>
  </si>
  <si>
    <t>CTP BUENOS AIRES</t>
  </si>
  <si>
    <t>BUE</t>
  </si>
  <si>
    <t>LOGISTICA</t>
  </si>
  <si>
    <t>-</t>
  </si>
  <si>
    <t>CLOG TORTUGUITAS</t>
  </si>
  <si>
    <t>POD</t>
  </si>
  <si>
    <t>ENVÍOS 2D</t>
  </si>
  <si>
    <t>Volumen Mensual</t>
  </si>
  <si>
    <t>Promedio Diario</t>
  </si>
  <si>
    <t>ENVÍOS 3D</t>
  </si>
  <si>
    <t>Impo Volumen mensual</t>
  </si>
  <si>
    <t>Ultima milla Volumen Mensual</t>
  </si>
  <si>
    <t>Impo Promedio Diario</t>
  </si>
  <si>
    <t>Ultima Milla Promedio Diario</t>
  </si>
  <si>
    <t>INFO PLANTAS</t>
  </si>
  <si>
    <t>KPI</t>
  </si>
  <si>
    <t>UBICACIÓN</t>
  </si>
  <si>
    <t>POD contempla superficie de todas las naves</t>
  </si>
  <si>
    <t>Superficie Cubierta en M2</t>
  </si>
  <si>
    <t>BUE contempla superficie de BUE-CPI y Rebut+Galpon electorales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</si>
</sst>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2" formatCode="_-* #,##0_-;\-* #,##0_-;_-* &quot;-&quot;??_-;_-@_-"/>
  </numFmts>
  <fonts count="9" x14ac:knownFonts="1">
    <font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rgb="FFFFFFFF"/>
      <name val="Segoe UI"/>
      <family val="2"/>
    </font>
    <font>
      <b/>
      <sz val="12"/>
      <color theme="0"/>
      <name val="Segoe UI"/>
      <family val="2"/>
    </font>
    <font>
      <i/>
      <sz val="11"/>
      <color theme="1"/>
      <name val="Segoe UI"/>
      <family val="2"/>
    </font>
    <font>
      <i/>
      <sz val="11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Font="1"/>
    <xf numFmtId="3" fontId="4" fillId="0" borderId="0" xfId="0" applyNumberFormat="1" applyFont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3" fontId="4" fillId="3" borderId="0" xfId="0" applyNumberFormat="1" applyFont="1" applyFill="1" applyBorder="1" applyAlignment="1">
      <alignment vertical="center"/>
    </xf>
    <xf numFmtId="0" fontId="7" fillId="5" borderId="0" xfId="0" applyFont="1" applyFill="1"/>
    <xf numFmtId="10" fontId="8" fillId="0" borderId="4" xfId="0" applyNumberFormat="1" applyFont="1" applyBorder="1" applyAlignment="1">
      <alignment horizontal="center" vertical="center"/>
    </xf>
    <xf numFmtId="10" fontId="8" fillId="0" borderId="5" xfId="0" applyNumberFormat="1" applyFont="1" applyBorder="1" applyAlignment="1">
      <alignment horizontal="center" vertical="center"/>
    </xf>
    <xf numFmtId="9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0" fontId="8" fillId="3" borderId="4" xfId="0" applyNumberFormat="1" applyFont="1" applyFill="1" applyBorder="1" applyAlignment="1">
      <alignment horizontal="center" vertical="center"/>
    </xf>
    <xf numFmtId="10" fontId="8" fillId="3" borderId="5" xfId="0" applyNumberFormat="1" applyFont="1" applyFill="1" applyBorder="1" applyAlignment="1">
      <alignment horizontal="center" vertical="center"/>
    </xf>
    <xf numFmtId="0" fontId="7" fillId="6" borderId="0" xfId="0" applyFont="1" applyFill="1"/>
    <xf numFmtId="0" fontId="0" fillId="6" borderId="0" xfId="0" applyFont="1" applyFill="1"/>
    <xf numFmtId="172" fontId="4" fillId="0" borderId="0" xfId="1" applyNumberFormat="1" applyFont="1" applyBorder="1" applyAlignment="1">
      <alignment horizontal="right"/>
    </xf>
    <xf numFmtId="172" fontId="4" fillId="0" borderId="0" xfId="1" applyNumberFormat="1" applyFont="1" applyBorder="1" applyAlignment="1">
      <alignment horizontal="right" vertical="center"/>
    </xf>
    <xf numFmtId="172" fontId="4" fillId="0" borderId="4" xfId="1" applyNumberFormat="1" applyFont="1" applyBorder="1" applyAlignment="1">
      <alignment horizontal="right" vertical="center"/>
    </xf>
    <xf numFmtId="172" fontId="4" fillId="0" borderId="5" xfId="1" applyNumberFormat="1" applyFont="1" applyBorder="1" applyAlignment="1">
      <alignment horizontal="right" vertical="center"/>
    </xf>
    <xf numFmtId="172" fontId="0" fillId="0" borderId="5" xfId="1" applyNumberFormat="1" applyFont="1" applyBorder="1" applyAlignment="1">
      <alignment horizontal="right"/>
    </xf>
    <xf numFmtId="172" fontId="4" fillId="6" borderId="0" xfId="1" applyNumberFormat="1" applyFont="1" applyFill="1" applyBorder="1" applyAlignment="1">
      <alignment horizontal="right" vertical="center"/>
    </xf>
    <xf numFmtId="172" fontId="4" fillId="5" borderId="0" xfId="1" applyNumberFormat="1" applyFont="1" applyFill="1" applyBorder="1" applyAlignment="1">
      <alignment horizontal="right" vertical="center"/>
    </xf>
    <xf numFmtId="172" fontId="3" fillId="3" borderId="0" xfId="1" applyNumberFormat="1" applyFont="1" applyFill="1" applyBorder="1" applyAlignment="1">
      <alignment horizontal="right"/>
    </xf>
    <xf numFmtId="172" fontId="3" fillId="3" borderId="0" xfId="1" applyNumberFormat="1" applyFont="1" applyFill="1" applyBorder="1" applyAlignment="1">
      <alignment horizontal="right" vertical="center"/>
    </xf>
    <xf numFmtId="172" fontId="3" fillId="3" borderId="4" xfId="1" applyNumberFormat="1" applyFont="1" applyFill="1" applyBorder="1" applyAlignment="1">
      <alignment horizontal="right" vertical="center"/>
    </xf>
    <xf numFmtId="172" fontId="3" fillId="3" borderId="5" xfId="1" applyNumberFormat="1" applyFont="1" applyFill="1" applyBorder="1" applyAlignment="1">
      <alignment horizontal="right" vertical="center"/>
    </xf>
    <xf numFmtId="172" fontId="2" fillId="3" borderId="5" xfId="1" applyNumberFormat="1" applyFont="1" applyFill="1" applyBorder="1" applyAlignment="1">
      <alignment horizontal="right" vertical="center"/>
    </xf>
  </cellXfs>
  <cellStyles count="2">
    <cellStyle name="Millares" xfId="1" builtinId="3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72" formatCode="_-* #,##0_-;\-* #,##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72" formatCode="_-* #,##0_-;\-* #,##0_-;_-* &quot;-&quot;??_-;_-@_-"/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2" formatCode="_-* #,##0_-;\-* #,##0_-;_-* &quot;-&quot;??_-;_-@_-"/>
      <alignment horizontal="right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72" formatCode="_-* #,##0_-;\-* #,##0_-;_-* &quot;-&quot;??_-;_-@_-"/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72" formatCode="_-* #,##0_-;\-* #,##0_-;_-* &quot;-&quot;??_-;_-@_-"/>
      <alignment horizontal="righ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72" formatCode="_-* #,##0_-;\-* #,##0_-;_-* &quot;-&quot;??_-;_-@_-"/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72" formatCode="_-* #,##0_-;\-* #,##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72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font>
        <color rgb="FF000000"/>
      </font>
      <fill>
        <patternFill patternType="solid">
          <fgColor indexed="64"/>
          <bgColor rgb="FF4D96FF"/>
        </patternFill>
      </fill>
    </dxf>
    <dxf>
      <font>
        <color rgb="FF000000"/>
      </font>
      <fill>
        <patternFill patternType="solid">
          <fgColor indexed="64"/>
          <bgColor rgb="FF5CD65C"/>
        </patternFill>
      </fill>
    </dxf>
    <dxf>
      <font>
        <color rgb="FF000000"/>
      </font>
      <fill>
        <patternFill patternType="solid">
          <fgColor indexed="64"/>
          <bgColor rgb="FFFFD23F"/>
        </patternFill>
      </fill>
    </dxf>
    <dxf>
      <font>
        <color rgb="FF000000"/>
      </font>
      <fill>
        <patternFill patternType="solid">
          <fgColor indexed="64"/>
          <bgColor rgb="FFFF5A5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rgb="FFCFE2F3"/>
        </patternFill>
      </fill>
    </dxf>
    <dxf>
      <font>
        <color rgb="FF000000"/>
      </font>
      <fill>
        <patternFill patternType="solid">
          <fgColor indexed="64"/>
          <bgColor rgb="FFD9EAD3"/>
        </patternFill>
      </fill>
    </dxf>
    <dxf>
      <font>
        <color rgb="FF000000"/>
      </font>
      <fill>
        <patternFill patternType="solid">
          <fgColor indexed="64"/>
          <bgColor rgb="FFFFF2CC"/>
        </patternFill>
      </fill>
    </dxf>
    <dxf>
      <font>
        <color rgb="FF000000"/>
      </font>
      <fill>
        <patternFill patternType="solid">
          <fgColor indexed="64"/>
          <bgColor rgb="FFF4CCCC"/>
        </patternFill>
      </fill>
    </dxf>
    <dxf>
      <font>
        <color rgb="FF073763"/>
      </font>
      <fill>
        <patternFill patternType="solid">
          <fgColor indexed="64"/>
          <bgColor rgb="FFCFE2F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rgb="FF000000"/>
          <bgColor rgb="FF30549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border outline="0">
        <left style="medium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F1EC4-29F8-42A9-A29C-FA6C18960156}" name="Tabla1" displayName="Tabla1" ref="A2:O39" totalsRowShown="0" headerRowDxfId="24" tableBorderDxfId="28">
  <autoFilter ref="A2:O39" xr:uid="{FA3F1EC4-29F8-42A9-A29C-FA6C18960156}"/>
  <tableColumns count="15">
    <tableColumn id="1" xr3:uid="{746AE0D0-E18D-42D8-BFFE-A5659D0DCA18}" name="Unidad operativa" dataDxfId="27"/>
    <tableColumn id="2" xr3:uid="{22615138-DCAF-4D26-BC3E-73898A5446F9}" name="Cod de Planta" dataDxfId="26"/>
    <tableColumn id="3" xr3:uid="{9FC418AD-965A-450F-9FA5-9D98C98E78FB}" name="Region" dataDxfId="23"/>
    <tableColumn id="15" xr3:uid="{D1105086-0B9F-49C5-AC0D-E4FBD7CE8F1E}" name="Superficie Cubierta en M2" dataDxfId="7" dataCellStyle="Millares"/>
    <tableColumn id="4" xr3:uid="{2967B0F5-CFD6-46F5-85AA-66297373B938}" name="Dotacion actual" dataDxfId="6" dataCellStyle="Millares"/>
    <tableColumn id="5" xr3:uid="{71B9D7E1-417D-4729-8EBD-A1BF52B18877}" name="Volumen Mensual" dataDxfId="5" dataCellStyle="Millares"/>
    <tableColumn id="6" xr3:uid="{1975FBCE-9377-49B6-8414-6680B9A8959D}" name="Promedio Diario" dataDxfId="4" dataCellStyle="Millares"/>
    <tableColumn id="7" xr3:uid="{5AF70CED-939C-4CEA-814A-C00F00637F61}" name="Impo Volumen mensual" dataDxfId="3" dataCellStyle="Millares"/>
    <tableColumn id="8" xr3:uid="{76CED6B3-7990-4438-A591-590B87446A59}" name="Impo Promedio Diario" dataDxfId="2" dataCellStyle="Millares"/>
    <tableColumn id="9" xr3:uid="{EE174133-F52F-4E0E-B66A-7C6D5BB65345}" name="Ultima milla Volumen Mensual" dataDxfId="1" dataCellStyle="Millares"/>
    <tableColumn id="10" xr3:uid="{2BB42AF7-C928-4B8E-B845-AC3F78FD611C}" name="Ultima Milla Promedio Diario" dataDxfId="0" dataCellStyle="Millares"/>
    <tableColumn id="11" xr3:uid="{74881731-50F1-4B78-BCB8-45B16ECEF9A8}" name="FV" dataDxfId="9"/>
    <tableColumn id="12" xr3:uid="{FB4226E6-C15D-42AA-AE6F-4467AE83CB6F}" name="SLA" dataDxfId="8"/>
    <tableColumn id="13" xr3:uid="{58C41FE6-AC44-4C84-86F0-FA10D3E7DBC5}" name="Latitud" dataDxfId="14"/>
    <tableColumn id="14" xr3:uid="{5DB3B0CE-114A-497B-9A7C-057FD4D6CB84}" name="Longitud" dataDxfId="2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DED6-63AF-4FB7-95DB-88DE8CA70400}">
  <dimension ref="A1:O42"/>
  <sheetViews>
    <sheetView showGridLines="0" tabSelected="1" topLeftCell="A23" workbookViewId="0">
      <selection activeCell="G41" sqref="G41"/>
    </sheetView>
  </sheetViews>
  <sheetFormatPr baseColWidth="10" defaultColWidth="19.19921875" defaultRowHeight="16.8" x14ac:dyDescent="0.4"/>
  <cols>
    <col min="1" max="1" width="24.19921875" style="1" customWidth="1"/>
    <col min="2" max="13" width="19.19921875" style="1"/>
    <col min="14" max="14" width="26.296875" style="1" customWidth="1"/>
    <col min="15" max="15" width="25.3984375" style="1" customWidth="1"/>
    <col min="16" max="16384" width="19.19921875" style="1"/>
  </cols>
  <sheetData>
    <row r="1" spans="1:15" ht="19.8" thickBot="1" x14ac:dyDescent="0.5">
      <c r="A1" s="5" t="s">
        <v>95</v>
      </c>
      <c r="B1" s="6"/>
      <c r="C1" s="6"/>
      <c r="D1" s="6"/>
      <c r="E1" s="6"/>
      <c r="F1" s="5" t="s">
        <v>87</v>
      </c>
      <c r="G1" s="7"/>
      <c r="H1" s="5" t="s">
        <v>90</v>
      </c>
      <c r="I1" s="6"/>
      <c r="J1" s="6"/>
      <c r="K1" s="7"/>
      <c r="L1" s="5" t="s">
        <v>96</v>
      </c>
      <c r="M1" s="7"/>
      <c r="N1" s="4" t="s">
        <v>97</v>
      </c>
      <c r="O1" s="4"/>
    </row>
    <row r="2" spans="1:15" ht="33.6" x14ac:dyDescent="0.4">
      <c r="A2" s="8" t="s">
        <v>0</v>
      </c>
      <c r="B2" s="8" t="s">
        <v>1</v>
      </c>
      <c r="C2" s="8" t="s">
        <v>2</v>
      </c>
      <c r="D2" s="12" t="s">
        <v>99</v>
      </c>
      <c r="E2" s="12" t="s">
        <v>3</v>
      </c>
      <c r="F2" s="13" t="s">
        <v>88</v>
      </c>
      <c r="G2" s="9" t="s">
        <v>89</v>
      </c>
      <c r="H2" s="14" t="s">
        <v>91</v>
      </c>
      <c r="I2" s="15" t="s">
        <v>93</v>
      </c>
      <c r="J2" s="14" t="s">
        <v>92</v>
      </c>
      <c r="K2" s="15" t="s">
        <v>94</v>
      </c>
      <c r="L2" s="13" t="s">
        <v>4</v>
      </c>
      <c r="M2" s="9" t="s">
        <v>5</v>
      </c>
      <c r="N2" s="3" t="s">
        <v>6</v>
      </c>
      <c r="O2" s="3" t="s">
        <v>7</v>
      </c>
    </row>
    <row r="3" spans="1:15" x14ac:dyDescent="0.4">
      <c r="A3" s="10" t="s">
        <v>8</v>
      </c>
      <c r="B3" s="10" t="s">
        <v>9</v>
      </c>
      <c r="C3" s="10" t="s">
        <v>10</v>
      </c>
      <c r="D3" s="29">
        <v>2000</v>
      </c>
      <c r="E3" s="30">
        <v>53</v>
      </c>
      <c r="F3" s="31">
        <v>151282</v>
      </c>
      <c r="G3" s="32">
        <v>6876.454545454545</v>
      </c>
      <c r="H3" s="31">
        <v>26257</v>
      </c>
      <c r="I3" s="33">
        <v>1193.5</v>
      </c>
      <c r="J3" s="31">
        <v>151813</v>
      </c>
      <c r="K3" s="32">
        <v>6900.590909090909</v>
      </c>
      <c r="L3" s="20">
        <v>0.80100000000000005</v>
      </c>
      <c r="M3" s="21">
        <v>0.98880000000000001</v>
      </c>
      <c r="N3" s="2">
        <v>-38965924</v>
      </c>
      <c r="O3" s="2">
        <v>-680509834</v>
      </c>
    </row>
    <row r="4" spans="1:15" x14ac:dyDescent="0.4">
      <c r="A4" s="10" t="s">
        <v>11</v>
      </c>
      <c r="B4" s="10" t="s">
        <v>12</v>
      </c>
      <c r="C4" s="10" t="s">
        <v>10</v>
      </c>
      <c r="D4" s="29">
        <v>2000</v>
      </c>
      <c r="E4" s="30">
        <v>36</v>
      </c>
      <c r="F4" s="31">
        <v>27683</v>
      </c>
      <c r="G4" s="32">
        <v>1258.3181818181818</v>
      </c>
      <c r="H4" s="31">
        <v>4783</v>
      </c>
      <c r="I4" s="33">
        <v>217.40909090909091</v>
      </c>
      <c r="J4" s="31">
        <v>41666</v>
      </c>
      <c r="K4" s="32">
        <v>1893.909090909091</v>
      </c>
      <c r="L4" s="22">
        <v>0.92</v>
      </c>
      <c r="M4" s="21">
        <v>0.9919</v>
      </c>
      <c r="N4" s="2">
        <v>-45861187</v>
      </c>
      <c r="O4" s="2">
        <v>-674767167</v>
      </c>
    </row>
    <row r="5" spans="1:15" x14ac:dyDescent="0.4">
      <c r="A5" s="10" t="s">
        <v>13</v>
      </c>
      <c r="B5" s="10" t="s">
        <v>14</v>
      </c>
      <c r="C5" s="10" t="s">
        <v>10</v>
      </c>
      <c r="D5" s="29">
        <v>700</v>
      </c>
      <c r="E5" s="30">
        <v>15</v>
      </c>
      <c r="F5" s="31">
        <v>35693</v>
      </c>
      <c r="G5" s="32">
        <v>1622.409090909091</v>
      </c>
      <c r="H5" s="31">
        <v>7073</v>
      </c>
      <c r="I5" s="33">
        <v>321.5</v>
      </c>
      <c r="J5" s="31">
        <v>23610</v>
      </c>
      <c r="K5" s="32">
        <v>1073.1818181818182</v>
      </c>
      <c r="L5" s="20">
        <v>0.87250000000000005</v>
      </c>
      <c r="M5" s="21">
        <v>0.98939999999999995</v>
      </c>
      <c r="N5" s="2">
        <v>-432721798</v>
      </c>
      <c r="O5" s="2">
        <v>-652797974</v>
      </c>
    </row>
    <row r="6" spans="1:15" x14ac:dyDescent="0.4">
      <c r="A6" s="10" t="s">
        <v>15</v>
      </c>
      <c r="B6" s="10" t="s">
        <v>16</v>
      </c>
      <c r="C6" s="10" t="s">
        <v>10</v>
      </c>
      <c r="D6" s="29">
        <v>740</v>
      </c>
      <c r="E6" s="30">
        <v>22</v>
      </c>
      <c r="F6" s="31">
        <v>30214</v>
      </c>
      <c r="G6" s="32">
        <v>1373.3636363636363</v>
      </c>
      <c r="H6" s="31">
        <v>2353</v>
      </c>
      <c r="I6" s="33">
        <v>106.95454545454545</v>
      </c>
      <c r="J6" s="31">
        <v>25999</v>
      </c>
      <c r="K6" s="32">
        <v>1181.7727272727273</v>
      </c>
      <c r="L6" s="20">
        <v>0.875</v>
      </c>
      <c r="M6" s="21">
        <v>0.98680000000000001</v>
      </c>
      <c r="N6" s="2">
        <v>-51618225</v>
      </c>
      <c r="O6" s="2">
        <v>-69292593</v>
      </c>
    </row>
    <row r="7" spans="1:15" x14ac:dyDescent="0.4">
      <c r="A7" s="10" t="s">
        <v>17</v>
      </c>
      <c r="B7" s="10" t="s">
        <v>18</v>
      </c>
      <c r="C7" s="10" t="s">
        <v>10</v>
      </c>
      <c r="D7" s="29">
        <v>360</v>
      </c>
      <c r="E7" s="30">
        <v>16</v>
      </c>
      <c r="F7" s="31">
        <v>23861</v>
      </c>
      <c r="G7" s="32">
        <v>1084.590909090909</v>
      </c>
      <c r="H7" s="31">
        <v>7235</v>
      </c>
      <c r="I7" s="33">
        <v>328.86363636363637</v>
      </c>
      <c r="J7" s="31">
        <v>30875</v>
      </c>
      <c r="K7" s="32">
        <v>1403.409090909091</v>
      </c>
      <c r="L7" s="20">
        <v>0.82499999999999996</v>
      </c>
      <c r="M7" s="21">
        <v>0.98509999999999998</v>
      </c>
      <c r="N7" s="2">
        <v>-411422742</v>
      </c>
      <c r="O7" s="2">
        <v>-712926754</v>
      </c>
    </row>
    <row r="8" spans="1:15" x14ac:dyDescent="0.4">
      <c r="A8" s="10" t="s">
        <v>19</v>
      </c>
      <c r="B8" s="10" t="s">
        <v>20</v>
      </c>
      <c r="C8" s="10" t="s">
        <v>21</v>
      </c>
      <c r="D8" s="29">
        <v>1780</v>
      </c>
      <c r="E8" s="30">
        <v>57</v>
      </c>
      <c r="F8" s="31">
        <v>211365</v>
      </c>
      <c r="G8" s="32">
        <v>9607.5</v>
      </c>
      <c r="H8" s="31">
        <v>64153</v>
      </c>
      <c r="I8" s="33">
        <v>2916.0454545454545</v>
      </c>
      <c r="J8" s="31">
        <v>61892</v>
      </c>
      <c r="K8" s="32">
        <v>2813.2727272727275</v>
      </c>
      <c r="L8" s="20">
        <v>0.83099999999999996</v>
      </c>
      <c r="M8" s="21">
        <v>0.98760000000000003</v>
      </c>
      <c r="N8" s="2">
        <v>-349151298</v>
      </c>
      <c r="O8" s="2">
        <v>-580065907</v>
      </c>
    </row>
    <row r="9" spans="1:15" x14ac:dyDescent="0.4">
      <c r="A9" s="10" t="s">
        <v>22</v>
      </c>
      <c r="B9" s="10" t="s">
        <v>23</v>
      </c>
      <c r="C9" s="10" t="s">
        <v>21</v>
      </c>
      <c r="D9" s="29">
        <v>1800</v>
      </c>
      <c r="E9" s="30">
        <v>30</v>
      </c>
      <c r="F9" s="31">
        <v>52734</v>
      </c>
      <c r="G9" s="32">
        <v>2397</v>
      </c>
      <c r="H9" s="31">
        <v>31560</v>
      </c>
      <c r="I9" s="33">
        <v>1434.5454545454545</v>
      </c>
      <c r="J9" s="31">
        <v>62228</v>
      </c>
      <c r="K9" s="32">
        <v>2828.5454545454545</v>
      </c>
      <c r="L9" s="22">
        <v>0.86</v>
      </c>
      <c r="M9" s="21">
        <v>0.96789999999999998</v>
      </c>
      <c r="N9" s="2">
        <v>-387121869</v>
      </c>
      <c r="O9" s="2">
        <v>-623296128</v>
      </c>
    </row>
    <row r="10" spans="1:15" x14ac:dyDescent="0.4">
      <c r="A10" s="10" t="s">
        <v>24</v>
      </c>
      <c r="B10" s="10" t="s">
        <v>25</v>
      </c>
      <c r="C10" s="10" t="s">
        <v>21</v>
      </c>
      <c r="D10" s="29">
        <v>4070</v>
      </c>
      <c r="E10" s="30">
        <v>37</v>
      </c>
      <c r="F10" s="31">
        <v>165383</v>
      </c>
      <c r="G10" s="32">
        <v>7517.409090909091</v>
      </c>
      <c r="H10" s="31">
        <v>57463</v>
      </c>
      <c r="I10" s="33">
        <v>2611.9545454545455</v>
      </c>
      <c r="J10" s="31">
        <v>76491</v>
      </c>
      <c r="K10" s="32">
        <v>3476.8636363636365</v>
      </c>
      <c r="L10" s="20">
        <v>0.874</v>
      </c>
      <c r="M10" s="21">
        <v>0.96899999999999997</v>
      </c>
      <c r="N10" s="2">
        <v>-379650347</v>
      </c>
      <c r="O10" s="2">
        <v>-575776538</v>
      </c>
    </row>
    <row r="11" spans="1:15" x14ac:dyDescent="0.4">
      <c r="A11" s="10" t="s">
        <v>26</v>
      </c>
      <c r="B11" s="10" t="s">
        <v>27</v>
      </c>
      <c r="C11" s="10" t="s">
        <v>21</v>
      </c>
      <c r="D11" s="29">
        <v>1150</v>
      </c>
      <c r="E11" s="30">
        <v>19</v>
      </c>
      <c r="F11" s="31">
        <v>141235</v>
      </c>
      <c r="G11" s="32">
        <v>6419.772727272727</v>
      </c>
      <c r="H11" s="31">
        <v>49586</v>
      </c>
      <c r="I11" s="33">
        <v>2253.909090909091</v>
      </c>
      <c r="J11" s="31">
        <v>59943</v>
      </c>
      <c r="K11" s="32">
        <v>2724.681818181818</v>
      </c>
      <c r="L11" s="20">
        <v>0.83899999999999997</v>
      </c>
      <c r="M11" s="21">
        <v>0.98519999999999996</v>
      </c>
      <c r="N11" s="2">
        <v>-346587116</v>
      </c>
      <c r="O11" s="2">
        <v>-593705243</v>
      </c>
    </row>
    <row r="12" spans="1:15" x14ac:dyDescent="0.4">
      <c r="A12" s="10" t="s">
        <v>28</v>
      </c>
      <c r="B12" s="10" t="s">
        <v>29</v>
      </c>
      <c r="C12" s="10" t="s">
        <v>21</v>
      </c>
      <c r="D12" s="29">
        <v>2000</v>
      </c>
      <c r="E12" s="30">
        <v>11</v>
      </c>
      <c r="F12" s="31">
        <v>82390</v>
      </c>
      <c r="G12" s="32">
        <v>3745</v>
      </c>
      <c r="H12" s="31">
        <v>19668</v>
      </c>
      <c r="I12" s="33">
        <v>894</v>
      </c>
      <c r="J12" s="31">
        <v>24229</v>
      </c>
      <c r="K12" s="32">
        <v>1101.3181818181818</v>
      </c>
      <c r="L12" s="20">
        <v>0.86399999999999999</v>
      </c>
      <c r="M12" s="21">
        <v>0.9889</v>
      </c>
      <c r="N12" s="2">
        <v>-338906562</v>
      </c>
      <c r="O12" s="2">
        <v>-60572839</v>
      </c>
    </row>
    <row r="13" spans="1:15" x14ac:dyDescent="0.4">
      <c r="A13" s="10" t="s">
        <v>30</v>
      </c>
      <c r="B13" s="10" t="s">
        <v>31</v>
      </c>
      <c r="C13" s="10" t="s">
        <v>21</v>
      </c>
      <c r="D13" s="29">
        <v>1000</v>
      </c>
      <c r="E13" s="30">
        <v>12</v>
      </c>
      <c r="F13" s="31">
        <v>20178</v>
      </c>
      <c r="G13" s="32">
        <v>917.18181818181813</v>
      </c>
      <c r="H13" s="31">
        <v>8354</v>
      </c>
      <c r="I13" s="33">
        <v>379.72727272727275</v>
      </c>
      <c r="J13" s="31">
        <v>18124</v>
      </c>
      <c r="K13" s="32">
        <v>823.81818181818187</v>
      </c>
      <c r="L13" s="20">
        <v>0.85799999999999998</v>
      </c>
      <c r="M13" s="21">
        <v>0.98619999999999997</v>
      </c>
      <c r="N13" s="2">
        <v>-366189544</v>
      </c>
      <c r="O13" s="2">
        <v>-64287404</v>
      </c>
    </row>
    <row r="14" spans="1:15" x14ac:dyDescent="0.4">
      <c r="A14" s="10" t="s">
        <v>32</v>
      </c>
      <c r="B14" s="10" t="s">
        <v>33</v>
      </c>
      <c r="C14" s="10" t="s">
        <v>34</v>
      </c>
      <c r="D14" s="29">
        <v>1500</v>
      </c>
      <c r="E14" s="30">
        <v>60</v>
      </c>
      <c r="F14" s="31">
        <v>141383</v>
      </c>
      <c r="G14" s="32">
        <v>6426.5</v>
      </c>
      <c r="H14" s="31">
        <v>28379</v>
      </c>
      <c r="I14" s="33">
        <v>1289.9545454545455</v>
      </c>
      <c r="J14" s="31">
        <v>67035</v>
      </c>
      <c r="K14" s="32">
        <v>3047.0454545454545</v>
      </c>
      <c r="L14" s="20">
        <v>0.88400000000000001</v>
      </c>
      <c r="M14" s="21">
        <v>0.99260000000000004</v>
      </c>
      <c r="N14" s="2">
        <v>-329394438</v>
      </c>
      <c r="O14" s="2">
        <v>-687674755</v>
      </c>
    </row>
    <row r="15" spans="1:15" x14ac:dyDescent="0.4">
      <c r="A15" s="10" t="s">
        <v>35</v>
      </c>
      <c r="B15" s="10" t="s">
        <v>36</v>
      </c>
      <c r="C15" s="10" t="s">
        <v>34</v>
      </c>
      <c r="D15" s="29">
        <v>250</v>
      </c>
      <c r="E15" s="30">
        <v>24</v>
      </c>
      <c r="F15" s="31">
        <v>109870</v>
      </c>
      <c r="G15" s="32">
        <v>4994.090909090909</v>
      </c>
      <c r="H15" s="31">
        <v>8716</v>
      </c>
      <c r="I15" s="33">
        <v>396.18181818181819</v>
      </c>
      <c r="J15" s="31">
        <v>26236</v>
      </c>
      <c r="K15" s="32">
        <v>1192.5454545454545</v>
      </c>
      <c r="L15" s="20">
        <v>0.81699999999999995</v>
      </c>
      <c r="M15" s="21">
        <v>0.97430000000000005</v>
      </c>
      <c r="N15" s="2">
        <v>-31537304</v>
      </c>
      <c r="O15" s="2">
        <v>-68522559</v>
      </c>
    </row>
    <row r="16" spans="1:15" x14ac:dyDescent="0.4">
      <c r="A16" s="10" t="s">
        <v>37</v>
      </c>
      <c r="B16" s="10" t="s">
        <v>38</v>
      </c>
      <c r="C16" s="10" t="s">
        <v>34</v>
      </c>
      <c r="D16" s="29">
        <v>1000</v>
      </c>
      <c r="E16" s="30">
        <v>20</v>
      </c>
      <c r="F16" s="31">
        <v>20991</v>
      </c>
      <c r="G16" s="32">
        <v>954.13636363636363</v>
      </c>
      <c r="H16" s="31">
        <v>8240</v>
      </c>
      <c r="I16" s="33">
        <v>374.54545454545456</v>
      </c>
      <c r="J16" s="31">
        <v>22532</v>
      </c>
      <c r="K16" s="32">
        <v>1024.1818181818182</v>
      </c>
      <c r="L16" s="20">
        <v>0.95499999999999996</v>
      </c>
      <c r="M16" s="21">
        <v>0.98809999999999998</v>
      </c>
      <c r="N16" s="2">
        <v>-33316819</v>
      </c>
      <c r="O16" s="2">
        <v>-663670048</v>
      </c>
    </row>
    <row r="17" spans="1:15" x14ac:dyDescent="0.4">
      <c r="A17" s="10" t="s">
        <v>39</v>
      </c>
      <c r="B17" s="10" t="s">
        <v>40</v>
      </c>
      <c r="C17" s="10" t="s">
        <v>34</v>
      </c>
      <c r="D17" s="29">
        <v>234</v>
      </c>
      <c r="E17" s="30">
        <v>10</v>
      </c>
      <c r="F17" s="31">
        <v>79407</v>
      </c>
      <c r="G17" s="32">
        <v>3609.409090909091</v>
      </c>
      <c r="H17" s="31">
        <v>1459</v>
      </c>
      <c r="I17" s="33">
        <v>66.318181818181813</v>
      </c>
      <c r="J17" s="31">
        <v>16802</v>
      </c>
      <c r="K17" s="32">
        <v>763.72727272727275</v>
      </c>
      <c r="L17" s="20">
        <v>0.76500000000000001</v>
      </c>
      <c r="M17" s="21">
        <v>0.9798</v>
      </c>
      <c r="N17" s="2">
        <v>-284694474</v>
      </c>
      <c r="O17" s="2">
        <v>-657761198</v>
      </c>
    </row>
    <row r="18" spans="1:15" x14ac:dyDescent="0.4">
      <c r="A18" s="10" t="s">
        <v>41</v>
      </c>
      <c r="B18" s="10" t="s">
        <v>42</v>
      </c>
      <c r="C18" s="10" t="s">
        <v>34</v>
      </c>
      <c r="D18" s="29">
        <v>350</v>
      </c>
      <c r="E18" s="30">
        <v>21</v>
      </c>
      <c r="F18" s="31">
        <v>7880</v>
      </c>
      <c r="G18" s="32">
        <v>358.18181818181819</v>
      </c>
      <c r="H18" s="31">
        <v>4629</v>
      </c>
      <c r="I18" s="33">
        <v>210.40909090909091</v>
      </c>
      <c r="J18" s="31">
        <v>13730</v>
      </c>
      <c r="K18" s="32">
        <v>624.09090909090912</v>
      </c>
      <c r="L18" s="20">
        <v>0.84499999999999997</v>
      </c>
      <c r="M18" s="21">
        <v>0.99109999999999998</v>
      </c>
      <c r="N18" s="2">
        <v>-29429071</v>
      </c>
      <c r="O18" s="2">
        <v>-66860352</v>
      </c>
    </row>
    <row r="19" spans="1:15" x14ac:dyDescent="0.4">
      <c r="A19" s="10" t="s">
        <v>43</v>
      </c>
      <c r="B19" s="10" t="s">
        <v>44</v>
      </c>
      <c r="C19" s="10" t="s">
        <v>34</v>
      </c>
      <c r="D19" s="29">
        <v>1300</v>
      </c>
      <c r="E19" s="30">
        <v>25</v>
      </c>
      <c r="F19" s="31">
        <v>11481</v>
      </c>
      <c r="G19" s="32">
        <v>521.86363636363637</v>
      </c>
      <c r="H19" s="31">
        <v>10754</v>
      </c>
      <c r="I19" s="33">
        <v>488.81818181818181</v>
      </c>
      <c r="J19" s="31">
        <v>24440</v>
      </c>
      <c r="K19" s="32">
        <v>1110.909090909091</v>
      </c>
      <c r="L19" s="20">
        <v>0.76500000000000001</v>
      </c>
      <c r="M19" s="21">
        <v>0.98680000000000001</v>
      </c>
      <c r="N19" s="2">
        <v>-242115355</v>
      </c>
      <c r="O19" s="2">
        <v>-652840565</v>
      </c>
    </row>
    <row r="20" spans="1:15" x14ac:dyDescent="0.4">
      <c r="A20" s="10" t="s">
        <v>45</v>
      </c>
      <c r="B20" s="10" t="s">
        <v>46</v>
      </c>
      <c r="C20" s="10" t="s">
        <v>34</v>
      </c>
      <c r="D20" s="29">
        <v>1329</v>
      </c>
      <c r="E20" s="30">
        <v>37</v>
      </c>
      <c r="F20" s="31">
        <v>31253</v>
      </c>
      <c r="G20" s="32">
        <v>1420.590909090909</v>
      </c>
      <c r="H20" s="31">
        <v>58190</v>
      </c>
      <c r="I20" s="33">
        <v>2645</v>
      </c>
      <c r="J20" s="31">
        <v>38771</v>
      </c>
      <c r="K20" s="32">
        <v>1762.3181818181818</v>
      </c>
      <c r="L20" s="20">
        <v>0.75600000000000001</v>
      </c>
      <c r="M20" s="21">
        <v>0.98040000000000005</v>
      </c>
      <c r="N20" s="2">
        <v>-248383304</v>
      </c>
      <c r="O20" s="2">
        <v>-654543066</v>
      </c>
    </row>
    <row r="21" spans="1:15" x14ac:dyDescent="0.4">
      <c r="A21" s="10" t="s">
        <v>47</v>
      </c>
      <c r="B21" s="10" t="s">
        <v>48</v>
      </c>
      <c r="C21" s="10" t="s">
        <v>34</v>
      </c>
      <c r="D21" s="29">
        <v>720</v>
      </c>
      <c r="E21" s="30">
        <v>26</v>
      </c>
      <c r="F21" s="31">
        <v>16224</v>
      </c>
      <c r="G21" s="32">
        <v>737.4545454545455</v>
      </c>
      <c r="H21" s="31">
        <v>7088</v>
      </c>
      <c r="I21" s="33">
        <v>322.18181818181819</v>
      </c>
      <c r="J21" s="31">
        <v>32577</v>
      </c>
      <c r="K21" s="32">
        <v>1480.7727272727273</v>
      </c>
      <c r="L21" s="22">
        <v>0.83</v>
      </c>
      <c r="M21" s="21">
        <v>0.99250000000000005</v>
      </c>
      <c r="N21" s="2">
        <v>-278268847</v>
      </c>
      <c r="O21" s="2">
        <v>-642346452</v>
      </c>
    </row>
    <row r="22" spans="1:15" x14ac:dyDescent="0.4">
      <c r="A22" s="10" t="s">
        <v>49</v>
      </c>
      <c r="B22" s="10" t="s">
        <v>50</v>
      </c>
      <c r="C22" s="10" t="s">
        <v>34</v>
      </c>
      <c r="D22" s="29">
        <v>2000</v>
      </c>
      <c r="E22" s="30">
        <v>41</v>
      </c>
      <c r="F22" s="31">
        <v>22100</v>
      </c>
      <c r="G22" s="32">
        <v>1004.5454545454545</v>
      </c>
      <c r="H22" s="31">
        <v>17819</v>
      </c>
      <c r="I22" s="33">
        <v>809.9545454545455</v>
      </c>
      <c r="J22" s="31">
        <v>44686</v>
      </c>
      <c r="K22" s="32">
        <v>2031.1818181818182</v>
      </c>
      <c r="L22" s="20">
        <v>0.88300000000000001</v>
      </c>
      <c r="M22" s="21">
        <v>0.98860000000000003</v>
      </c>
      <c r="N22" s="2">
        <v>-267835433</v>
      </c>
      <c r="O22" s="2">
        <v>-65190047</v>
      </c>
    </row>
    <row r="23" spans="1:15" x14ac:dyDescent="0.4">
      <c r="A23" s="10" t="s">
        <v>51</v>
      </c>
      <c r="B23" s="10" t="s">
        <v>52</v>
      </c>
      <c r="C23" s="10" t="s">
        <v>53</v>
      </c>
      <c r="D23" s="29">
        <v>3200</v>
      </c>
      <c r="E23" s="30">
        <v>112</v>
      </c>
      <c r="F23" s="31">
        <v>248047</v>
      </c>
      <c r="G23" s="32">
        <v>11274.863636363636</v>
      </c>
      <c r="H23" s="31">
        <v>64306</v>
      </c>
      <c r="I23" s="33">
        <v>2923</v>
      </c>
      <c r="J23" s="31">
        <v>112466</v>
      </c>
      <c r="K23" s="32">
        <v>5112.090909090909</v>
      </c>
      <c r="L23" s="20">
        <v>0.753</v>
      </c>
      <c r="M23" s="21">
        <v>0.96989999999999998</v>
      </c>
      <c r="N23" s="2">
        <v>-329986189</v>
      </c>
      <c r="O23" s="2">
        <v>-606949678</v>
      </c>
    </row>
    <row r="24" spans="1:15" x14ac:dyDescent="0.4">
      <c r="A24" s="10" t="s">
        <v>54</v>
      </c>
      <c r="B24" s="10" t="s">
        <v>55</v>
      </c>
      <c r="C24" s="10" t="s">
        <v>53</v>
      </c>
      <c r="D24" s="29">
        <v>4000</v>
      </c>
      <c r="E24" s="30">
        <v>87</v>
      </c>
      <c r="F24" s="31">
        <v>146274</v>
      </c>
      <c r="G24" s="32">
        <v>6648.818181818182</v>
      </c>
      <c r="H24" s="31">
        <v>53171</v>
      </c>
      <c r="I24" s="33">
        <v>2416.8636363636365</v>
      </c>
      <c r="J24" s="31">
        <v>91565</v>
      </c>
      <c r="K24" s="32">
        <v>4162.045454545455</v>
      </c>
      <c r="L24" s="20">
        <v>0.871</v>
      </c>
      <c r="M24" s="21">
        <v>0.98360000000000003</v>
      </c>
      <c r="N24" s="2">
        <v>-316847091</v>
      </c>
      <c r="O24" s="2">
        <v>-607902635</v>
      </c>
    </row>
    <row r="25" spans="1:15" x14ac:dyDescent="0.4">
      <c r="A25" s="10" t="s">
        <v>56</v>
      </c>
      <c r="B25" s="10" t="s">
        <v>57</v>
      </c>
      <c r="C25" s="10" t="s">
        <v>53</v>
      </c>
      <c r="D25" s="29">
        <v>2820</v>
      </c>
      <c r="E25" s="30">
        <v>31</v>
      </c>
      <c r="F25" s="31">
        <v>20899</v>
      </c>
      <c r="G25" s="32">
        <v>949.9545454545455</v>
      </c>
      <c r="H25" s="31">
        <v>31199</v>
      </c>
      <c r="I25" s="33">
        <v>1418.1363636363637</v>
      </c>
      <c r="J25" s="31">
        <v>31350</v>
      </c>
      <c r="K25" s="32">
        <v>1425</v>
      </c>
      <c r="L25" s="20">
        <v>0.86499999999999999</v>
      </c>
      <c r="M25" s="21">
        <v>0.99309999999999998</v>
      </c>
      <c r="N25" s="2">
        <v>-273965033</v>
      </c>
      <c r="O25" s="2">
        <v>-559135819</v>
      </c>
    </row>
    <row r="26" spans="1:15" x14ac:dyDescent="0.4">
      <c r="A26" s="10" t="s">
        <v>58</v>
      </c>
      <c r="B26" s="10" t="s">
        <v>59</v>
      </c>
      <c r="C26" s="10" t="s">
        <v>53</v>
      </c>
      <c r="D26" s="29">
        <v>1819</v>
      </c>
      <c r="E26" s="30">
        <v>70</v>
      </c>
      <c r="F26" s="31">
        <v>53002</v>
      </c>
      <c r="G26" s="32">
        <v>2409.181818181818</v>
      </c>
      <c r="H26" s="31">
        <v>95496</v>
      </c>
      <c r="I26" s="33">
        <v>4340.727272727273</v>
      </c>
      <c r="J26" s="31">
        <v>125872</v>
      </c>
      <c r="K26" s="32">
        <v>5721.454545454545</v>
      </c>
      <c r="L26" s="20">
        <v>0.874</v>
      </c>
      <c r="M26" s="21">
        <v>0.99829999999999997</v>
      </c>
      <c r="N26" s="2">
        <v>-275058404</v>
      </c>
      <c r="O26" s="2">
        <v>-587739109</v>
      </c>
    </row>
    <row r="27" spans="1:15" x14ac:dyDescent="0.4">
      <c r="A27" s="10" t="s">
        <v>60</v>
      </c>
      <c r="B27" s="10" t="s">
        <v>61</v>
      </c>
      <c r="C27" s="10" t="s">
        <v>53</v>
      </c>
      <c r="D27" s="29">
        <v>6800</v>
      </c>
      <c r="E27" s="30">
        <v>147</v>
      </c>
      <c r="F27" s="31">
        <v>113836</v>
      </c>
      <c r="G27" s="32">
        <v>5174.363636363636</v>
      </c>
      <c r="H27" s="31">
        <v>121457</v>
      </c>
      <c r="I27" s="33">
        <v>5520.772727272727</v>
      </c>
      <c r="J27" s="31">
        <v>139872</v>
      </c>
      <c r="K27" s="32">
        <v>6357.818181818182</v>
      </c>
      <c r="L27" s="20">
        <v>0.81299999999999994</v>
      </c>
      <c r="M27" s="21">
        <v>0.97829999999999995</v>
      </c>
      <c r="N27" s="2">
        <v>-314716247</v>
      </c>
      <c r="O27" s="2">
        <v>-641601023</v>
      </c>
    </row>
    <row r="28" spans="1:15" x14ac:dyDescent="0.4">
      <c r="A28" s="10" t="s">
        <v>62</v>
      </c>
      <c r="B28" s="10" t="s">
        <v>63</v>
      </c>
      <c r="C28" s="10" t="s">
        <v>53</v>
      </c>
      <c r="D28" s="29">
        <v>1500</v>
      </c>
      <c r="E28" s="30">
        <v>47</v>
      </c>
      <c r="F28" s="31">
        <v>43630</v>
      </c>
      <c r="G28" s="32">
        <v>1983.1818181818182</v>
      </c>
      <c r="H28" s="31">
        <v>40040</v>
      </c>
      <c r="I28" s="33">
        <v>1820</v>
      </c>
      <c r="J28" s="31">
        <v>81846</v>
      </c>
      <c r="K28" s="32">
        <v>3720.2727272727275</v>
      </c>
      <c r="L28" s="20">
        <v>0.86599999999999999</v>
      </c>
      <c r="M28" s="21">
        <v>0.995</v>
      </c>
      <c r="N28" s="2">
        <v>-317422813</v>
      </c>
      <c r="O28" s="2">
        <v>-604943971</v>
      </c>
    </row>
    <row r="29" spans="1:15" x14ac:dyDescent="0.4">
      <c r="A29" s="10" t="s">
        <v>64</v>
      </c>
      <c r="B29" s="10" t="s">
        <v>65</v>
      </c>
      <c r="C29" s="10" t="s">
        <v>53</v>
      </c>
      <c r="D29" s="29">
        <v>1158</v>
      </c>
      <c r="E29" s="30">
        <v>30</v>
      </c>
      <c r="F29" s="31">
        <v>28431</v>
      </c>
      <c r="G29" s="32">
        <v>1292.3181818181818</v>
      </c>
      <c r="H29" s="31">
        <v>17522</v>
      </c>
      <c r="I29" s="33">
        <v>796.4545454545455</v>
      </c>
      <c r="J29" s="31">
        <v>54689</v>
      </c>
      <c r="K29" s="32">
        <v>2485.8636363636365</v>
      </c>
      <c r="L29" s="20">
        <v>0.81799999999999995</v>
      </c>
      <c r="M29" s="21">
        <v>0.995</v>
      </c>
      <c r="N29" s="2">
        <v>-274097866</v>
      </c>
      <c r="O29" s="2">
        <v>-589797857</v>
      </c>
    </row>
    <row r="30" spans="1:15" x14ac:dyDescent="0.4">
      <c r="A30" s="10" t="s">
        <v>66</v>
      </c>
      <c r="B30" s="10" t="s">
        <v>67</v>
      </c>
      <c r="C30" s="10" t="s">
        <v>53</v>
      </c>
      <c r="D30" s="29">
        <v>800</v>
      </c>
      <c r="E30" s="30">
        <v>9</v>
      </c>
      <c r="F30" s="31">
        <v>13015</v>
      </c>
      <c r="G30" s="32">
        <v>591.59090909090912</v>
      </c>
      <c r="H30" s="31">
        <v>22000</v>
      </c>
      <c r="I30" s="33">
        <v>1000</v>
      </c>
      <c r="J30" s="31">
        <v>32201</v>
      </c>
      <c r="K30" s="32">
        <v>1463.6818181818182</v>
      </c>
      <c r="L30" s="20">
        <v>0.79500000000000004</v>
      </c>
      <c r="M30" s="21">
        <v>0.98719999999999997</v>
      </c>
      <c r="N30" s="2">
        <v>-323941616</v>
      </c>
      <c r="O30" s="2">
        <v>-632386124</v>
      </c>
    </row>
    <row r="31" spans="1:15" x14ac:dyDescent="0.4">
      <c r="A31" s="10" t="s">
        <v>68</v>
      </c>
      <c r="B31" s="10" t="s">
        <v>69</v>
      </c>
      <c r="C31" s="10" t="s">
        <v>53</v>
      </c>
      <c r="D31" s="29">
        <v>1200</v>
      </c>
      <c r="E31" s="30">
        <v>17</v>
      </c>
      <c r="F31" s="31">
        <v>14411</v>
      </c>
      <c r="G31" s="32">
        <v>655.0454545454545</v>
      </c>
      <c r="H31" s="31">
        <v>7305</v>
      </c>
      <c r="I31" s="33">
        <v>332.04545454545456</v>
      </c>
      <c r="J31" s="31">
        <v>31830</v>
      </c>
      <c r="K31" s="32">
        <v>1446.8181818181818</v>
      </c>
      <c r="L31" s="20">
        <v>0.72599999999999998</v>
      </c>
      <c r="M31" s="21">
        <v>0.9819</v>
      </c>
      <c r="N31" s="2">
        <v>-331223883</v>
      </c>
      <c r="O31" s="2">
        <v>-643816389</v>
      </c>
    </row>
    <row r="32" spans="1:15" x14ac:dyDescent="0.4">
      <c r="A32" s="10" t="s">
        <v>70</v>
      </c>
      <c r="B32" s="10" t="s">
        <v>71</v>
      </c>
      <c r="C32" s="10" t="s">
        <v>72</v>
      </c>
      <c r="D32" s="29">
        <v>900</v>
      </c>
      <c r="E32" s="30">
        <v>57</v>
      </c>
      <c r="F32" s="31">
        <v>789672</v>
      </c>
      <c r="G32" s="32">
        <v>35894.181818181816</v>
      </c>
      <c r="H32" s="31">
        <v>603057</v>
      </c>
      <c r="I32" s="33">
        <v>27411.68181818182</v>
      </c>
      <c r="J32" s="31">
        <v>197695</v>
      </c>
      <c r="K32" s="32">
        <v>8986.136363636364</v>
      </c>
      <c r="L32" s="20">
        <v>0.85499999999999998</v>
      </c>
      <c r="M32" s="21">
        <v>0.98040000000000005</v>
      </c>
      <c r="N32" s="2">
        <v>-34639133</v>
      </c>
      <c r="O32" s="2">
        <v>-583789432</v>
      </c>
    </row>
    <row r="33" spans="1:15" x14ac:dyDescent="0.4">
      <c r="A33" s="10" t="s">
        <v>73</v>
      </c>
      <c r="B33" s="10" t="s">
        <v>74</v>
      </c>
      <c r="C33" s="10" t="s">
        <v>72</v>
      </c>
      <c r="D33" s="29">
        <v>2623</v>
      </c>
      <c r="E33" s="30">
        <v>50</v>
      </c>
      <c r="F33" s="31">
        <v>323475</v>
      </c>
      <c r="G33" s="32">
        <v>14703.40909090909</v>
      </c>
      <c r="H33" s="31">
        <v>135349</v>
      </c>
      <c r="I33" s="33">
        <v>6152.227272727273</v>
      </c>
      <c r="J33" s="31">
        <v>104420</v>
      </c>
      <c r="K33" s="32">
        <v>4746.363636363636</v>
      </c>
      <c r="L33" s="20">
        <v>0.86799999999999999</v>
      </c>
      <c r="M33" s="21">
        <v>0.97860000000000003</v>
      </c>
      <c r="N33" s="2">
        <v>-3.47223327260061E+16</v>
      </c>
      <c r="O33" s="2">
        <v>-5828233440214880</v>
      </c>
    </row>
    <row r="34" spans="1:15" x14ac:dyDescent="0.4">
      <c r="A34" s="10" t="s">
        <v>75</v>
      </c>
      <c r="B34" s="10" t="s">
        <v>76</v>
      </c>
      <c r="C34" s="10" t="s">
        <v>72</v>
      </c>
      <c r="D34" s="29">
        <v>16000</v>
      </c>
      <c r="E34" s="30">
        <v>66</v>
      </c>
      <c r="F34" s="31">
        <v>816760</v>
      </c>
      <c r="G34" s="32">
        <v>37125.454545454544</v>
      </c>
      <c r="H34" s="31">
        <v>268356</v>
      </c>
      <c r="I34" s="33">
        <v>12198</v>
      </c>
      <c r="J34" s="31">
        <v>156179</v>
      </c>
      <c r="K34" s="32">
        <v>7099.045454545455</v>
      </c>
      <c r="L34" s="20">
        <v>0.90900000000000003</v>
      </c>
      <c r="M34" s="21">
        <v>0.98360000000000003</v>
      </c>
      <c r="N34" s="2">
        <v>-3471368283201280</v>
      </c>
      <c r="O34" s="2">
        <v>-5849388379177830</v>
      </c>
    </row>
    <row r="35" spans="1:15" x14ac:dyDescent="0.4">
      <c r="A35" s="10" t="s">
        <v>77</v>
      </c>
      <c r="B35" s="10" t="s">
        <v>78</v>
      </c>
      <c r="C35" s="10" t="s">
        <v>72</v>
      </c>
      <c r="D35" s="29">
        <v>2356</v>
      </c>
      <c r="E35" s="30">
        <v>61</v>
      </c>
      <c r="F35" s="31">
        <v>605459</v>
      </c>
      <c r="G35" s="32">
        <v>27520.863636363636</v>
      </c>
      <c r="H35" s="31">
        <v>162141</v>
      </c>
      <c r="I35" s="33">
        <v>7370.045454545455</v>
      </c>
      <c r="J35" s="31">
        <v>88910</v>
      </c>
      <c r="K35" s="32">
        <v>4041.3636363636365</v>
      </c>
      <c r="L35" s="20">
        <v>0.75600000000000001</v>
      </c>
      <c r="M35" s="21">
        <v>0.96399999999999997</v>
      </c>
      <c r="N35" s="2">
        <v>-3.46356702880289E+16</v>
      </c>
      <c r="O35" s="2">
        <v>-5876323534632730</v>
      </c>
    </row>
    <row r="36" spans="1:15" x14ac:dyDescent="0.4">
      <c r="A36" s="10" t="s">
        <v>79</v>
      </c>
      <c r="B36" s="10" t="s">
        <v>80</v>
      </c>
      <c r="C36" s="10" t="s">
        <v>72</v>
      </c>
      <c r="D36" s="29">
        <v>2637</v>
      </c>
      <c r="E36" s="30">
        <v>57</v>
      </c>
      <c r="F36" s="31">
        <v>238815</v>
      </c>
      <c r="G36" s="32">
        <v>10855.227272727272</v>
      </c>
      <c r="H36" s="31">
        <v>160992</v>
      </c>
      <c r="I36" s="33">
        <v>7317.818181818182</v>
      </c>
      <c r="J36" s="31">
        <v>85260</v>
      </c>
      <c r="K36" s="32">
        <v>3875.4545454545455</v>
      </c>
      <c r="L36" s="20">
        <v>0.88700000000000001</v>
      </c>
      <c r="M36" s="21">
        <v>0.97529999999999994</v>
      </c>
      <c r="N36" s="2">
        <v>-3.4518094713147E+16</v>
      </c>
      <c r="O36" s="2">
        <v>-5851293315982420</v>
      </c>
    </row>
    <row r="37" spans="1:15" x14ac:dyDescent="0.4">
      <c r="A37" s="11" t="s">
        <v>81</v>
      </c>
      <c r="B37" s="11" t="s">
        <v>82</v>
      </c>
      <c r="C37" s="11" t="s">
        <v>83</v>
      </c>
      <c r="D37" s="34">
        <v>20980</v>
      </c>
      <c r="E37" s="30">
        <v>272</v>
      </c>
      <c r="F37" s="31"/>
      <c r="G37" s="32" t="s">
        <v>84</v>
      </c>
      <c r="H37" s="31">
        <v>174364</v>
      </c>
      <c r="I37" s="33">
        <v>7925.636363636364</v>
      </c>
      <c r="J37" s="31" t="s">
        <v>84</v>
      </c>
      <c r="K37" s="32" t="s">
        <v>84</v>
      </c>
      <c r="L37" s="23" t="s">
        <v>84</v>
      </c>
      <c r="M37" s="24" t="s">
        <v>84</v>
      </c>
      <c r="N37" s="2">
        <v>-3481011379518750</v>
      </c>
      <c r="O37" s="2">
        <v>-5849211517515830</v>
      </c>
    </row>
    <row r="38" spans="1:15" x14ac:dyDescent="0.4">
      <c r="A38" s="11" t="s">
        <v>85</v>
      </c>
      <c r="B38" s="11" t="s">
        <v>86</v>
      </c>
      <c r="C38" s="11" t="s">
        <v>83</v>
      </c>
      <c r="D38" s="35">
        <v>50000</v>
      </c>
      <c r="E38" s="30">
        <v>172</v>
      </c>
      <c r="F38" s="31" t="s">
        <v>84</v>
      </c>
      <c r="G38" s="32" t="s">
        <v>84</v>
      </c>
      <c r="H38" s="31">
        <v>84727</v>
      </c>
      <c r="I38" s="33">
        <v>3851.2272727272725</v>
      </c>
      <c r="J38" s="31" t="s">
        <v>84</v>
      </c>
      <c r="K38" s="32" t="s">
        <v>84</v>
      </c>
      <c r="L38" s="23" t="s">
        <v>84</v>
      </c>
      <c r="M38" s="24" t="s">
        <v>84</v>
      </c>
      <c r="N38" s="2">
        <v>-3445510927970140</v>
      </c>
      <c r="O38" s="2">
        <v>-5870363525982560</v>
      </c>
    </row>
    <row r="39" spans="1:15" x14ac:dyDescent="0.4">
      <c r="A39" s="16"/>
      <c r="B39" s="17"/>
      <c r="C39" s="17"/>
      <c r="D39" s="36">
        <v>98523</v>
      </c>
      <c r="E39" s="37">
        <v>1857</v>
      </c>
      <c r="F39" s="38">
        <v>4838333</v>
      </c>
      <c r="G39" s="39">
        <v>219924.22727272726</v>
      </c>
      <c r="H39" s="38">
        <v>2465241</v>
      </c>
      <c r="I39" s="40">
        <v>112056.4090909091</v>
      </c>
      <c r="J39" s="38">
        <v>2197834</v>
      </c>
      <c r="K39" s="39">
        <v>99901.545454545441</v>
      </c>
      <c r="L39" s="25">
        <v>0.84045588235294111</v>
      </c>
      <c r="M39" s="26">
        <v>0.98427058823529401</v>
      </c>
      <c r="N39" s="18"/>
      <c r="O39" s="18"/>
    </row>
    <row r="41" spans="1:15" x14ac:dyDescent="0.4">
      <c r="A41" s="19" t="s">
        <v>98</v>
      </c>
      <c r="B41" s="19"/>
    </row>
    <row r="42" spans="1:15" x14ac:dyDescent="0.4">
      <c r="A42" s="27" t="s">
        <v>100</v>
      </c>
      <c r="B42" s="28"/>
      <c r="C42" s="28"/>
    </row>
  </sheetData>
  <mergeCells count="5">
    <mergeCell ref="F1:G1"/>
    <mergeCell ref="H1:K1"/>
    <mergeCell ref="A1:E1"/>
    <mergeCell ref="L1:M1"/>
    <mergeCell ref="N1:O1"/>
  </mergeCells>
  <conditionalFormatting sqref="L3">
    <cfRule type="dataBar" priority="1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{2857BA75-7AE8-4114-A08F-2F32F9161B78}</x14:id>
        </ext>
      </extLst>
    </cfRule>
  </conditionalFormatting>
  <conditionalFormatting sqref="M3">
    <cfRule type="dataBar" priority="2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{065EF20F-56AD-4F47-8502-821B2A01E7FC}</x14:id>
        </ext>
      </extLst>
    </cfRule>
  </conditionalFormatting>
  <conditionalFormatting sqref="L4">
    <cfRule type="dataBar" priority="3">
      <dataBar>
        <cfvo type="num" val="0"/>
        <cfvo type="num" val="1"/>
        <color rgb="FFF9A825"/>
      </dataBar>
      <extLst>
        <ext xmlns:x14="http://schemas.microsoft.com/office/spreadsheetml/2009/9/main" uri="{B025F937-C7B1-47D3-B67F-A62EFF666E3E}">
          <x14:id>{CD6FBCAB-F860-4105-9498-73F088FAB1C9}</x14:id>
        </ext>
      </extLst>
    </cfRule>
  </conditionalFormatting>
  <conditionalFormatting sqref="M4">
    <cfRule type="dataBar" priority="4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{98B211E4-17B7-4C5B-BB75-30E247414F9A}</x14:id>
        </ext>
      </extLst>
    </cfRule>
  </conditionalFormatting>
  <conditionalFormatting sqref="L5">
    <cfRule type="dataBar" priority="5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{1CC4A1CC-7030-42A6-9BDF-2A829F1A3779}</x14:id>
        </ext>
      </extLst>
    </cfRule>
  </conditionalFormatting>
  <conditionalFormatting sqref="M5">
    <cfRule type="dataBar" priority="6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{AB4111A6-00D1-42C1-849A-F74CD235C746}</x14:id>
        </ext>
      </extLst>
    </cfRule>
  </conditionalFormatting>
  <conditionalFormatting sqref="L6">
    <cfRule type="dataBar" priority="7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{6C376AC4-D2B7-4F4D-AEB5-C5E577996308}</x14:id>
        </ext>
      </extLst>
    </cfRule>
  </conditionalFormatting>
  <conditionalFormatting sqref="M6">
    <cfRule type="dataBar" priority="8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{DDF25A9A-D38D-44E5-8588-3F7F0129FFED}</x14:id>
        </ext>
      </extLst>
    </cfRule>
  </conditionalFormatting>
  <conditionalFormatting sqref="L7">
    <cfRule type="dataBar" priority="9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{912E8C6D-E558-45AF-9100-9B0B9468F822}</x14:id>
        </ext>
      </extLst>
    </cfRule>
  </conditionalFormatting>
  <conditionalFormatting sqref="M7">
    <cfRule type="dataBar" priority="10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{1DF93A33-26B4-4033-BA70-92306350B76F}</x14:id>
        </ext>
      </extLst>
    </cfRule>
  </conditionalFormatting>
  <conditionalFormatting sqref="L8">
    <cfRule type="dataBar" priority="11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{6FFD3AE6-1B55-436C-9E9B-3CDB9B77C7F4}</x14:id>
        </ext>
      </extLst>
    </cfRule>
  </conditionalFormatting>
  <conditionalFormatting sqref="M8">
    <cfRule type="dataBar" priority="12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{E44034F0-82D7-4246-A5E4-6117FEA16E07}</x14:id>
        </ext>
      </extLst>
    </cfRule>
  </conditionalFormatting>
  <conditionalFormatting sqref="L9">
    <cfRule type="dataBar" priority="13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{77107B66-47D2-4FEB-AC92-78DD6C3B6AE1}</x14:id>
        </ext>
      </extLst>
    </cfRule>
  </conditionalFormatting>
  <conditionalFormatting sqref="M9">
    <cfRule type="dataBar" priority="14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{B7C43BC3-FF65-46BA-BA95-AF071B598542}</x14:id>
        </ext>
      </extLst>
    </cfRule>
  </conditionalFormatting>
  <conditionalFormatting sqref="L10">
    <cfRule type="dataBar" priority="15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{D1365E58-409B-4466-8DC4-0AECDBD5B7C5}</x14:id>
        </ext>
      </extLst>
    </cfRule>
  </conditionalFormatting>
  <conditionalFormatting sqref="M10">
    <cfRule type="dataBar" priority="16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{0A2F48B8-F713-4D59-9DF8-F3DDEBF11427}</x14:id>
        </ext>
      </extLst>
    </cfRule>
  </conditionalFormatting>
  <conditionalFormatting sqref="L11">
    <cfRule type="dataBar" priority="17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{D11C25DD-CB8F-41A0-964B-C9F16861B058}</x14:id>
        </ext>
      </extLst>
    </cfRule>
  </conditionalFormatting>
  <conditionalFormatting sqref="M11">
    <cfRule type="dataBar" priority="18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{04D83990-B276-4667-A200-6989323FE7CB}</x14:id>
        </ext>
      </extLst>
    </cfRule>
  </conditionalFormatting>
  <conditionalFormatting sqref="L12">
    <cfRule type="dataBar" priority="19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{EAB48241-C6E7-4C58-9A15-9503591171EC}</x14:id>
        </ext>
      </extLst>
    </cfRule>
  </conditionalFormatting>
  <conditionalFormatting sqref="M12">
    <cfRule type="dataBar" priority="20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{0E25FD31-5CF5-46A1-9455-876668A6948A}</x14:id>
        </ext>
      </extLst>
    </cfRule>
  </conditionalFormatting>
  <conditionalFormatting sqref="L13">
    <cfRule type="dataBar" priority="21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{45A7A75D-9F50-48CF-98E3-9FE0C6DF3839}</x14:id>
        </ext>
      </extLst>
    </cfRule>
  </conditionalFormatting>
  <conditionalFormatting sqref="M13">
    <cfRule type="dataBar" priority="22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{9B4C1CBC-5142-4572-91A2-6BC61296A9D2}</x14:id>
        </ext>
      </extLst>
    </cfRule>
  </conditionalFormatting>
  <conditionalFormatting sqref="L14">
    <cfRule type="dataBar" priority="23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{4D1848CA-A041-41BE-97AE-B55C893034A3}</x14:id>
        </ext>
      </extLst>
    </cfRule>
  </conditionalFormatting>
  <conditionalFormatting sqref="M14">
    <cfRule type="dataBar" priority="24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{68285F99-21CE-4161-A353-01538A1C02B9}</x14:id>
        </ext>
      </extLst>
    </cfRule>
  </conditionalFormatting>
  <conditionalFormatting sqref="L15">
    <cfRule type="dataBar" priority="25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{5CDC213E-3350-4D42-959E-1A42C073E5B5}</x14:id>
        </ext>
      </extLst>
    </cfRule>
  </conditionalFormatting>
  <conditionalFormatting sqref="M15">
    <cfRule type="dataBar" priority="26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{CF996C33-208B-4564-90D3-A969F7EBE8E9}</x14:id>
        </ext>
      </extLst>
    </cfRule>
  </conditionalFormatting>
  <conditionalFormatting sqref="L16">
    <cfRule type="dataBar" priority="27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{262C899D-ED8C-4F68-B8EC-04FAC3E1AD2A}</x14:id>
        </ext>
      </extLst>
    </cfRule>
  </conditionalFormatting>
  <conditionalFormatting sqref="M16">
    <cfRule type="dataBar" priority="28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{8A37C26E-F1ED-430F-A401-46E54828F115}</x14:id>
        </ext>
      </extLst>
    </cfRule>
  </conditionalFormatting>
  <conditionalFormatting sqref="L17">
    <cfRule type="dataBar" priority="29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{0180C57B-FFDB-4170-9C84-F5DF07A1AE94}</x14:id>
        </ext>
      </extLst>
    </cfRule>
  </conditionalFormatting>
  <conditionalFormatting sqref="M17">
    <cfRule type="dataBar" priority="30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{DFC50564-0B4E-4F93-B212-226D3FCF865E}</x14:id>
        </ext>
      </extLst>
    </cfRule>
  </conditionalFormatting>
  <conditionalFormatting sqref="L18">
    <cfRule type="dataBar" priority="31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{FB2BE0F8-CF23-427F-84FC-09C090A01C3E}</x14:id>
        </ext>
      </extLst>
    </cfRule>
  </conditionalFormatting>
  <conditionalFormatting sqref="M18">
    <cfRule type="dataBar" priority="32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{100752BE-B0F6-4AF2-91BC-F19B76749595}</x14:id>
        </ext>
      </extLst>
    </cfRule>
  </conditionalFormatting>
  <conditionalFormatting sqref="L19">
    <cfRule type="dataBar" priority="33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{BC6856C8-D659-48A4-9B3D-2ABCFD93939E}</x14:id>
        </ext>
      </extLst>
    </cfRule>
  </conditionalFormatting>
  <conditionalFormatting sqref="M19">
    <cfRule type="dataBar" priority="34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{AF522C46-0352-4359-A816-71E2C744E7A4}</x14:id>
        </ext>
      </extLst>
    </cfRule>
  </conditionalFormatting>
  <conditionalFormatting sqref="L20">
    <cfRule type="dataBar" priority="35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{3544E716-C489-4BC2-973E-E05AAEC64C81}</x14:id>
        </ext>
      </extLst>
    </cfRule>
  </conditionalFormatting>
  <conditionalFormatting sqref="M20">
    <cfRule type="dataBar" priority="36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{3910F47F-1322-4499-883E-B4CD76AFA728}</x14:id>
        </ext>
      </extLst>
    </cfRule>
  </conditionalFormatting>
  <conditionalFormatting sqref="L21">
    <cfRule type="dataBar" priority="37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{56F4E4B2-9941-4149-A1B6-64E12E45F521}</x14:id>
        </ext>
      </extLst>
    </cfRule>
  </conditionalFormatting>
  <conditionalFormatting sqref="M21">
    <cfRule type="dataBar" priority="38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{E0502EA8-CE2A-418C-876F-4F40E9C079C9}</x14:id>
        </ext>
      </extLst>
    </cfRule>
  </conditionalFormatting>
  <conditionalFormatting sqref="L22">
    <cfRule type="dataBar" priority="39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{1B09A5A2-8150-4967-B4D8-802719E76522}</x14:id>
        </ext>
      </extLst>
    </cfRule>
  </conditionalFormatting>
  <conditionalFormatting sqref="M22">
    <cfRule type="dataBar" priority="40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{96BB16B3-00CC-4AC5-8B79-26933EA40B27}</x14:id>
        </ext>
      </extLst>
    </cfRule>
  </conditionalFormatting>
  <conditionalFormatting sqref="L23">
    <cfRule type="dataBar" priority="41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{A146808A-E348-4668-92B1-41099BCCCAF4}</x14:id>
        </ext>
      </extLst>
    </cfRule>
  </conditionalFormatting>
  <conditionalFormatting sqref="M23">
    <cfRule type="dataBar" priority="42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{B25A63A9-DC93-4AD0-A1F3-CD58F026F5EC}</x14:id>
        </ext>
      </extLst>
    </cfRule>
  </conditionalFormatting>
  <conditionalFormatting sqref="L24">
    <cfRule type="dataBar" priority="43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{4D96F7CE-7718-419E-9B5D-D6A8FE5D6FBE}</x14:id>
        </ext>
      </extLst>
    </cfRule>
  </conditionalFormatting>
  <conditionalFormatting sqref="M24">
    <cfRule type="dataBar" priority="44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{B2E2DAC8-ED32-47EB-BAC2-8A3DE2FBA952}</x14:id>
        </ext>
      </extLst>
    </cfRule>
  </conditionalFormatting>
  <conditionalFormatting sqref="L25">
    <cfRule type="dataBar" priority="45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{B1567C45-4CC4-4A37-9960-357451C2EB5B}</x14:id>
        </ext>
      </extLst>
    </cfRule>
  </conditionalFormatting>
  <conditionalFormatting sqref="M25">
    <cfRule type="dataBar" priority="46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{7A54C1FA-45E7-437E-9D95-37A4B115CCF6}</x14:id>
        </ext>
      </extLst>
    </cfRule>
  </conditionalFormatting>
  <conditionalFormatting sqref="L26">
    <cfRule type="dataBar" priority="47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{EB50D968-2CBF-4D8C-B19F-8F3256AEC84D}</x14:id>
        </ext>
      </extLst>
    </cfRule>
  </conditionalFormatting>
  <conditionalFormatting sqref="M26">
    <cfRule type="dataBar" priority="48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{3C2FCC79-68D0-4C50-A0CE-5BBDB145536C}</x14:id>
        </ext>
      </extLst>
    </cfRule>
  </conditionalFormatting>
  <conditionalFormatting sqref="L27">
    <cfRule type="dataBar" priority="49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{3879A10C-D73E-41BD-9596-2D616389C4FE}</x14:id>
        </ext>
      </extLst>
    </cfRule>
  </conditionalFormatting>
  <conditionalFormatting sqref="M27">
    <cfRule type="dataBar" priority="50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{37C771EE-0780-4A42-8A0D-D6D5D071F76B}</x14:id>
        </ext>
      </extLst>
    </cfRule>
  </conditionalFormatting>
  <conditionalFormatting sqref="L28">
    <cfRule type="dataBar" priority="51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{056EB246-DF29-4E86-9449-5DC00047B0A3}</x14:id>
        </ext>
      </extLst>
    </cfRule>
  </conditionalFormatting>
  <conditionalFormatting sqref="M28">
    <cfRule type="dataBar" priority="52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{DAADFF55-06CD-4421-8BA8-D9EAEE1383A3}</x14:id>
        </ext>
      </extLst>
    </cfRule>
  </conditionalFormatting>
  <conditionalFormatting sqref="L29">
    <cfRule type="dataBar" priority="53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{C4F507C1-03A5-4CEB-8AF0-5C945C0B9F3F}</x14:id>
        </ext>
      </extLst>
    </cfRule>
  </conditionalFormatting>
  <conditionalFormatting sqref="M29">
    <cfRule type="dataBar" priority="54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{A9D8B5D5-3E62-45CB-9C3F-00DB1F1EC7E9}</x14:id>
        </ext>
      </extLst>
    </cfRule>
  </conditionalFormatting>
  <conditionalFormatting sqref="L30">
    <cfRule type="dataBar" priority="55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{8AEA9682-F5EC-4746-BAE1-783AF6407E5E}</x14:id>
        </ext>
      </extLst>
    </cfRule>
  </conditionalFormatting>
  <conditionalFormatting sqref="M30">
    <cfRule type="dataBar" priority="56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{35348F7C-9EAC-401F-9193-0B8D4B3A8131}</x14:id>
        </ext>
      </extLst>
    </cfRule>
  </conditionalFormatting>
  <conditionalFormatting sqref="L31">
    <cfRule type="dataBar" priority="57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{1C0BA792-0F41-4E67-863C-9209D2386BA1}</x14:id>
        </ext>
      </extLst>
    </cfRule>
  </conditionalFormatting>
  <conditionalFormatting sqref="M31">
    <cfRule type="dataBar" priority="58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{E9F8DCB9-3C13-4EFB-B9C0-5D78D9360D75}</x14:id>
        </ext>
      </extLst>
    </cfRule>
  </conditionalFormatting>
  <conditionalFormatting sqref="L32">
    <cfRule type="dataBar" priority="59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{8D6F9E8F-BDD2-45D1-9C8B-A9FC8978C52D}</x14:id>
        </ext>
      </extLst>
    </cfRule>
  </conditionalFormatting>
  <conditionalFormatting sqref="M32">
    <cfRule type="dataBar" priority="60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{1F1F14C1-4D3F-4EAB-B9F9-69151D83B8D2}</x14:id>
        </ext>
      </extLst>
    </cfRule>
  </conditionalFormatting>
  <conditionalFormatting sqref="L33">
    <cfRule type="dataBar" priority="61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{3D448CAE-BA29-423A-97A4-3D17647C5DD1}</x14:id>
        </ext>
      </extLst>
    </cfRule>
  </conditionalFormatting>
  <conditionalFormatting sqref="M33">
    <cfRule type="dataBar" priority="62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{2C786F73-0706-4B6D-9EF1-CE03309950D3}</x14:id>
        </ext>
      </extLst>
    </cfRule>
  </conditionalFormatting>
  <conditionalFormatting sqref="L34">
    <cfRule type="dataBar" priority="63">
      <dataBar>
        <cfvo type="num" val="0"/>
        <cfvo type="num" val="1"/>
        <color rgb="FFF9A825"/>
      </dataBar>
      <extLst>
        <ext xmlns:x14="http://schemas.microsoft.com/office/spreadsheetml/2009/9/main" uri="{B025F937-C7B1-47D3-B67F-A62EFF666E3E}">
          <x14:id>{5DB90503-9D59-49AE-9660-B2D54CD505C4}</x14:id>
        </ext>
      </extLst>
    </cfRule>
  </conditionalFormatting>
  <conditionalFormatting sqref="M34">
    <cfRule type="dataBar" priority="64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{447ACBEB-7605-4E91-9264-D1991E09DC30}</x14:id>
        </ext>
      </extLst>
    </cfRule>
  </conditionalFormatting>
  <conditionalFormatting sqref="L35">
    <cfRule type="dataBar" priority="65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{EE42F218-358C-43FB-9752-010974FECF4A}</x14:id>
        </ext>
      </extLst>
    </cfRule>
  </conditionalFormatting>
  <conditionalFormatting sqref="M35">
    <cfRule type="dataBar" priority="66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{6589F9A5-112C-4665-80E2-58AFCF620A32}</x14:id>
        </ext>
      </extLst>
    </cfRule>
  </conditionalFormatting>
  <conditionalFormatting sqref="L36">
    <cfRule type="dataBar" priority="67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{B434CCAC-D92C-4AB5-BC0F-6E33727C15BB}</x14:id>
        </ext>
      </extLst>
    </cfRule>
  </conditionalFormatting>
  <conditionalFormatting sqref="M36">
    <cfRule type="dataBar" priority="68">
      <dataBar>
        <cfvo type="num" val="0"/>
        <cfvo type="num" val="1"/>
        <color rgb="FF2EAD4B"/>
      </dataBar>
      <extLst>
        <ext xmlns:x14="http://schemas.microsoft.com/office/spreadsheetml/2009/9/main" uri="{B025F937-C7B1-47D3-B67F-A62EFF666E3E}">
          <x14:id>{828C01B8-974E-4572-96B8-E9E59016B12D}</x14:id>
        </ext>
      </extLst>
    </cfRule>
  </conditionalFormatting>
  <conditionalFormatting sqref="L39">
    <cfRule type="dataBar" priority="69">
      <dataBar>
        <cfvo type="num" val="0"/>
        <cfvo type="num" val="1"/>
        <color rgb="FFE53935"/>
      </dataBar>
      <extLst>
        <ext xmlns:x14="http://schemas.microsoft.com/office/spreadsheetml/2009/9/main" uri="{B025F937-C7B1-47D3-B67F-A62EFF666E3E}">
          <x14:id>{4124DD73-F759-4F05-8B5A-830EBEFE4B46}</x14:id>
        </ext>
      </extLst>
    </cfRule>
  </conditionalFormatting>
  <conditionalFormatting sqref="M39">
    <cfRule type="dataBar" priority="70">
      <dataBar>
        <cfvo type="num" val="0"/>
        <cfvo type="num" val="1"/>
        <color rgb="FF1E88E5"/>
      </dataBar>
      <extLst>
        <ext xmlns:x14="http://schemas.microsoft.com/office/spreadsheetml/2009/9/main" uri="{B025F937-C7B1-47D3-B67F-A62EFF666E3E}">
          <x14:id>{085D52EE-7D19-4A52-8D93-6B50770D6808}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57BA75-7AE8-4114-A08F-2F32F9161B78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</xm:sqref>
        </x14:conditionalFormatting>
        <x14:conditionalFormatting xmlns:xm="http://schemas.microsoft.com/office/excel/2006/main">
          <x14:cfRule type="dataBar" id="{065EF20F-56AD-4F47-8502-821B2A01E7FC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</xm:sqref>
        </x14:conditionalFormatting>
        <x14:conditionalFormatting xmlns:xm="http://schemas.microsoft.com/office/excel/2006/main">
          <x14:cfRule type="dataBar" id="{CD6FBCAB-F860-4105-9498-73F088FAB1C9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L4</xm:sqref>
        </x14:conditionalFormatting>
        <x14:conditionalFormatting xmlns:xm="http://schemas.microsoft.com/office/excel/2006/main">
          <x14:cfRule type="dataBar" id="{98B211E4-17B7-4C5B-BB75-30E247414F9A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M4</xm:sqref>
        </x14:conditionalFormatting>
        <x14:conditionalFormatting xmlns:xm="http://schemas.microsoft.com/office/excel/2006/main">
          <x14:cfRule type="dataBar" id="{1CC4A1CC-7030-42A6-9BDF-2A829F1A3779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L5</xm:sqref>
        </x14:conditionalFormatting>
        <x14:conditionalFormatting xmlns:xm="http://schemas.microsoft.com/office/excel/2006/main">
          <x14:cfRule type="dataBar" id="{AB4111A6-00D1-42C1-849A-F74CD235C746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M5</xm:sqref>
        </x14:conditionalFormatting>
        <x14:conditionalFormatting xmlns:xm="http://schemas.microsoft.com/office/excel/2006/main">
          <x14:cfRule type="dataBar" id="{6C376AC4-D2B7-4F4D-AEB5-C5E577996308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L6</xm:sqref>
        </x14:conditionalFormatting>
        <x14:conditionalFormatting xmlns:xm="http://schemas.microsoft.com/office/excel/2006/main">
          <x14:cfRule type="dataBar" id="{DDF25A9A-D38D-44E5-8588-3F7F0129FFED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M6</xm:sqref>
        </x14:conditionalFormatting>
        <x14:conditionalFormatting xmlns:xm="http://schemas.microsoft.com/office/excel/2006/main">
          <x14:cfRule type="dataBar" id="{912E8C6D-E558-45AF-9100-9B0B9468F822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L7</xm:sqref>
        </x14:conditionalFormatting>
        <x14:conditionalFormatting xmlns:xm="http://schemas.microsoft.com/office/excel/2006/main">
          <x14:cfRule type="dataBar" id="{1DF93A33-26B4-4033-BA70-92306350B76F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M7</xm:sqref>
        </x14:conditionalFormatting>
        <x14:conditionalFormatting xmlns:xm="http://schemas.microsoft.com/office/excel/2006/main">
          <x14:cfRule type="dataBar" id="{6FFD3AE6-1B55-436C-9E9B-3CDB9B77C7F4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L8</xm:sqref>
        </x14:conditionalFormatting>
        <x14:conditionalFormatting xmlns:xm="http://schemas.microsoft.com/office/excel/2006/main">
          <x14:cfRule type="dataBar" id="{E44034F0-82D7-4246-A5E4-6117FEA16E07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M8</xm:sqref>
        </x14:conditionalFormatting>
        <x14:conditionalFormatting xmlns:xm="http://schemas.microsoft.com/office/excel/2006/main">
          <x14:cfRule type="dataBar" id="{77107B66-47D2-4FEB-AC92-78DD6C3B6AE1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L9</xm:sqref>
        </x14:conditionalFormatting>
        <x14:conditionalFormatting xmlns:xm="http://schemas.microsoft.com/office/excel/2006/main">
          <x14:cfRule type="dataBar" id="{B7C43BC3-FF65-46BA-BA95-AF071B598542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M9</xm:sqref>
        </x14:conditionalFormatting>
        <x14:conditionalFormatting xmlns:xm="http://schemas.microsoft.com/office/excel/2006/main">
          <x14:cfRule type="dataBar" id="{D1365E58-409B-4466-8DC4-0AECDBD5B7C5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L10</xm:sqref>
        </x14:conditionalFormatting>
        <x14:conditionalFormatting xmlns:xm="http://schemas.microsoft.com/office/excel/2006/main">
          <x14:cfRule type="dataBar" id="{0A2F48B8-F713-4D59-9DF8-F3DDEBF11427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M10</xm:sqref>
        </x14:conditionalFormatting>
        <x14:conditionalFormatting xmlns:xm="http://schemas.microsoft.com/office/excel/2006/main">
          <x14:cfRule type="dataBar" id="{D11C25DD-CB8F-41A0-964B-C9F16861B058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L11</xm:sqref>
        </x14:conditionalFormatting>
        <x14:conditionalFormatting xmlns:xm="http://schemas.microsoft.com/office/excel/2006/main">
          <x14:cfRule type="dataBar" id="{04D83990-B276-4667-A200-6989323FE7CB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M11</xm:sqref>
        </x14:conditionalFormatting>
        <x14:conditionalFormatting xmlns:xm="http://schemas.microsoft.com/office/excel/2006/main">
          <x14:cfRule type="dataBar" id="{EAB48241-C6E7-4C58-9A15-9503591171EC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L12</xm:sqref>
        </x14:conditionalFormatting>
        <x14:conditionalFormatting xmlns:xm="http://schemas.microsoft.com/office/excel/2006/main">
          <x14:cfRule type="dataBar" id="{0E25FD31-5CF5-46A1-9455-876668A6948A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M12</xm:sqref>
        </x14:conditionalFormatting>
        <x14:conditionalFormatting xmlns:xm="http://schemas.microsoft.com/office/excel/2006/main">
          <x14:cfRule type="dataBar" id="{45A7A75D-9F50-48CF-98E3-9FE0C6DF3839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L13</xm:sqref>
        </x14:conditionalFormatting>
        <x14:conditionalFormatting xmlns:xm="http://schemas.microsoft.com/office/excel/2006/main">
          <x14:cfRule type="dataBar" id="{9B4C1CBC-5142-4572-91A2-6BC61296A9D2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M13</xm:sqref>
        </x14:conditionalFormatting>
        <x14:conditionalFormatting xmlns:xm="http://schemas.microsoft.com/office/excel/2006/main">
          <x14:cfRule type="dataBar" id="{4D1848CA-A041-41BE-97AE-B55C893034A3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L14</xm:sqref>
        </x14:conditionalFormatting>
        <x14:conditionalFormatting xmlns:xm="http://schemas.microsoft.com/office/excel/2006/main">
          <x14:cfRule type="dataBar" id="{68285F99-21CE-4161-A353-01538A1C02B9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M14</xm:sqref>
        </x14:conditionalFormatting>
        <x14:conditionalFormatting xmlns:xm="http://schemas.microsoft.com/office/excel/2006/main">
          <x14:cfRule type="dataBar" id="{5CDC213E-3350-4D42-959E-1A42C073E5B5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L15</xm:sqref>
        </x14:conditionalFormatting>
        <x14:conditionalFormatting xmlns:xm="http://schemas.microsoft.com/office/excel/2006/main">
          <x14:cfRule type="dataBar" id="{CF996C33-208B-4564-90D3-A969F7EBE8E9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M15</xm:sqref>
        </x14:conditionalFormatting>
        <x14:conditionalFormatting xmlns:xm="http://schemas.microsoft.com/office/excel/2006/main">
          <x14:cfRule type="dataBar" id="{262C899D-ED8C-4F68-B8EC-04FAC3E1AD2A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L16</xm:sqref>
        </x14:conditionalFormatting>
        <x14:conditionalFormatting xmlns:xm="http://schemas.microsoft.com/office/excel/2006/main">
          <x14:cfRule type="dataBar" id="{8A37C26E-F1ED-430F-A401-46E54828F115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M16</xm:sqref>
        </x14:conditionalFormatting>
        <x14:conditionalFormatting xmlns:xm="http://schemas.microsoft.com/office/excel/2006/main">
          <x14:cfRule type="dataBar" id="{0180C57B-FFDB-4170-9C84-F5DF07A1AE94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L17</xm:sqref>
        </x14:conditionalFormatting>
        <x14:conditionalFormatting xmlns:xm="http://schemas.microsoft.com/office/excel/2006/main">
          <x14:cfRule type="dataBar" id="{DFC50564-0B4E-4F93-B212-226D3FCF865E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M17</xm:sqref>
        </x14:conditionalFormatting>
        <x14:conditionalFormatting xmlns:xm="http://schemas.microsoft.com/office/excel/2006/main">
          <x14:cfRule type="dataBar" id="{FB2BE0F8-CF23-427F-84FC-09C090A01C3E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L18</xm:sqref>
        </x14:conditionalFormatting>
        <x14:conditionalFormatting xmlns:xm="http://schemas.microsoft.com/office/excel/2006/main">
          <x14:cfRule type="dataBar" id="{100752BE-B0F6-4AF2-91BC-F19B76749595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M18</xm:sqref>
        </x14:conditionalFormatting>
        <x14:conditionalFormatting xmlns:xm="http://schemas.microsoft.com/office/excel/2006/main">
          <x14:cfRule type="dataBar" id="{BC6856C8-D659-48A4-9B3D-2ABCFD93939E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L19</xm:sqref>
        </x14:conditionalFormatting>
        <x14:conditionalFormatting xmlns:xm="http://schemas.microsoft.com/office/excel/2006/main">
          <x14:cfRule type="dataBar" id="{AF522C46-0352-4359-A816-71E2C744E7A4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M19</xm:sqref>
        </x14:conditionalFormatting>
        <x14:conditionalFormatting xmlns:xm="http://schemas.microsoft.com/office/excel/2006/main">
          <x14:cfRule type="dataBar" id="{3544E716-C489-4BC2-973E-E05AAEC64C81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L20</xm:sqref>
        </x14:conditionalFormatting>
        <x14:conditionalFormatting xmlns:xm="http://schemas.microsoft.com/office/excel/2006/main">
          <x14:cfRule type="dataBar" id="{3910F47F-1322-4499-883E-B4CD76AFA728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M20</xm:sqref>
        </x14:conditionalFormatting>
        <x14:conditionalFormatting xmlns:xm="http://schemas.microsoft.com/office/excel/2006/main">
          <x14:cfRule type="dataBar" id="{56F4E4B2-9941-4149-A1B6-64E12E45F521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L21</xm:sqref>
        </x14:conditionalFormatting>
        <x14:conditionalFormatting xmlns:xm="http://schemas.microsoft.com/office/excel/2006/main">
          <x14:cfRule type="dataBar" id="{E0502EA8-CE2A-418C-876F-4F40E9C079C9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M21</xm:sqref>
        </x14:conditionalFormatting>
        <x14:conditionalFormatting xmlns:xm="http://schemas.microsoft.com/office/excel/2006/main">
          <x14:cfRule type="dataBar" id="{1B09A5A2-8150-4967-B4D8-802719E76522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L22</xm:sqref>
        </x14:conditionalFormatting>
        <x14:conditionalFormatting xmlns:xm="http://schemas.microsoft.com/office/excel/2006/main">
          <x14:cfRule type="dataBar" id="{96BB16B3-00CC-4AC5-8B79-26933EA40B27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M22</xm:sqref>
        </x14:conditionalFormatting>
        <x14:conditionalFormatting xmlns:xm="http://schemas.microsoft.com/office/excel/2006/main">
          <x14:cfRule type="dataBar" id="{A146808A-E348-4668-92B1-41099BCCCAF4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L23</xm:sqref>
        </x14:conditionalFormatting>
        <x14:conditionalFormatting xmlns:xm="http://schemas.microsoft.com/office/excel/2006/main">
          <x14:cfRule type="dataBar" id="{B25A63A9-DC93-4AD0-A1F3-CD58F026F5EC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M23</xm:sqref>
        </x14:conditionalFormatting>
        <x14:conditionalFormatting xmlns:xm="http://schemas.microsoft.com/office/excel/2006/main">
          <x14:cfRule type="dataBar" id="{4D96F7CE-7718-419E-9B5D-D6A8FE5D6FBE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L24</xm:sqref>
        </x14:conditionalFormatting>
        <x14:conditionalFormatting xmlns:xm="http://schemas.microsoft.com/office/excel/2006/main">
          <x14:cfRule type="dataBar" id="{B2E2DAC8-ED32-47EB-BAC2-8A3DE2FBA952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M24</xm:sqref>
        </x14:conditionalFormatting>
        <x14:conditionalFormatting xmlns:xm="http://schemas.microsoft.com/office/excel/2006/main">
          <x14:cfRule type="dataBar" id="{B1567C45-4CC4-4A37-9960-357451C2EB5B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L25</xm:sqref>
        </x14:conditionalFormatting>
        <x14:conditionalFormatting xmlns:xm="http://schemas.microsoft.com/office/excel/2006/main">
          <x14:cfRule type="dataBar" id="{7A54C1FA-45E7-437E-9D95-37A4B115CCF6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M25</xm:sqref>
        </x14:conditionalFormatting>
        <x14:conditionalFormatting xmlns:xm="http://schemas.microsoft.com/office/excel/2006/main">
          <x14:cfRule type="dataBar" id="{EB50D968-2CBF-4D8C-B19F-8F3256AEC84D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L26</xm:sqref>
        </x14:conditionalFormatting>
        <x14:conditionalFormatting xmlns:xm="http://schemas.microsoft.com/office/excel/2006/main">
          <x14:cfRule type="dataBar" id="{3C2FCC79-68D0-4C50-A0CE-5BBDB145536C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M26</xm:sqref>
        </x14:conditionalFormatting>
        <x14:conditionalFormatting xmlns:xm="http://schemas.microsoft.com/office/excel/2006/main">
          <x14:cfRule type="dataBar" id="{3879A10C-D73E-41BD-9596-2D616389C4FE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L27</xm:sqref>
        </x14:conditionalFormatting>
        <x14:conditionalFormatting xmlns:xm="http://schemas.microsoft.com/office/excel/2006/main">
          <x14:cfRule type="dataBar" id="{37C771EE-0780-4A42-8A0D-D6D5D071F76B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M27</xm:sqref>
        </x14:conditionalFormatting>
        <x14:conditionalFormatting xmlns:xm="http://schemas.microsoft.com/office/excel/2006/main">
          <x14:cfRule type="dataBar" id="{056EB246-DF29-4E86-9449-5DC00047B0A3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L28</xm:sqref>
        </x14:conditionalFormatting>
        <x14:conditionalFormatting xmlns:xm="http://schemas.microsoft.com/office/excel/2006/main">
          <x14:cfRule type="dataBar" id="{DAADFF55-06CD-4421-8BA8-D9EAEE1383A3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M28</xm:sqref>
        </x14:conditionalFormatting>
        <x14:conditionalFormatting xmlns:xm="http://schemas.microsoft.com/office/excel/2006/main">
          <x14:cfRule type="dataBar" id="{C4F507C1-03A5-4CEB-8AF0-5C945C0B9F3F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L29</xm:sqref>
        </x14:conditionalFormatting>
        <x14:conditionalFormatting xmlns:xm="http://schemas.microsoft.com/office/excel/2006/main">
          <x14:cfRule type="dataBar" id="{A9D8B5D5-3E62-45CB-9C3F-00DB1F1EC7E9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M29</xm:sqref>
        </x14:conditionalFormatting>
        <x14:conditionalFormatting xmlns:xm="http://schemas.microsoft.com/office/excel/2006/main">
          <x14:cfRule type="dataBar" id="{8AEA9682-F5EC-4746-BAE1-783AF6407E5E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L30</xm:sqref>
        </x14:conditionalFormatting>
        <x14:conditionalFormatting xmlns:xm="http://schemas.microsoft.com/office/excel/2006/main">
          <x14:cfRule type="dataBar" id="{35348F7C-9EAC-401F-9193-0B8D4B3A8131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M30</xm:sqref>
        </x14:conditionalFormatting>
        <x14:conditionalFormatting xmlns:xm="http://schemas.microsoft.com/office/excel/2006/main">
          <x14:cfRule type="dataBar" id="{1C0BA792-0F41-4E67-863C-9209D2386BA1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L31</xm:sqref>
        </x14:conditionalFormatting>
        <x14:conditionalFormatting xmlns:xm="http://schemas.microsoft.com/office/excel/2006/main">
          <x14:cfRule type="dataBar" id="{E9F8DCB9-3C13-4EFB-B9C0-5D78D9360D75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M31</xm:sqref>
        </x14:conditionalFormatting>
        <x14:conditionalFormatting xmlns:xm="http://schemas.microsoft.com/office/excel/2006/main">
          <x14:cfRule type="dataBar" id="{8D6F9E8F-BDD2-45D1-9C8B-A9FC8978C52D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L32</xm:sqref>
        </x14:conditionalFormatting>
        <x14:conditionalFormatting xmlns:xm="http://schemas.microsoft.com/office/excel/2006/main">
          <x14:cfRule type="dataBar" id="{1F1F14C1-4D3F-4EAB-B9F9-69151D83B8D2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M32</xm:sqref>
        </x14:conditionalFormatting>
        <x14:conditionalFormatting xmlns:xm="http://schemas.microsoft.com/office/excel/2006/main">
          <x14:cfRule type="dataBar" id="{3D448CAE-BA29-423A-97A4-3D17647C5DD1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L33</xm:sqref>
        </x14:conditionalFormatting>
        <x14:conditionalFormatting xmlns:xm="http://schemas.microsoft.com/office/excel/2006/main">
          <x14:cfRule type="dataBar" id="{2C786F73-0706-4B6D-9EF1-CE03309950D3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M33</xm:sqref>
        </x14:conditionalFormatting>
        <x14:conditionalFormatting xmlns:xm="http://schemas.microsoft.com/office/excel/2006/main">
          <x14:cfRule type="dataBar" id="{5DB90503-9D59-49AE-9660-B2D54CD505C4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L34</xm:sqref>
        </x14:conditionalFormatting>
        <x14:conditionalFormatting xmlns:xm="http://schemas.microsoft.com/office/excel/2006/main">
          <x14:cfRule type="dataBar" id="{447ACBEB-7605-4E91-9264-D1991E09DC30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M34</xm:sqref>
        </x14:conditionalFormatting>
        <x14:conditionalFormatting xmlns:xm="http://schemas.microsoft.com/office/excel/2006/main">
          <x14:cfRule type="dataBar" id="{EE42F218-358C-43FB-9752-010974FECF4A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L35</xm:sqref>
        </x14:conditionalFormatting>
        <x14:conditionalFormatting xmlns:xm="http://schemas.microsoft.com/office/excel/2006/main">
          <x14:cfRule type="dataBar" id="{6589F9A5-112C-4665-80E2-58AFCF620A32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M35</xm:sqref>
        </x14:conditionalFormatting>
        <x14:conditionalFormatting xmlns:xm="http://schemas.microsoft.com/office/excel/2006/main">
          <x14:cfRule type="dataBar" id="{B434CCAC-D92C-4AB5-BC0F-6E33727C15BB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L36</xm:sqref>
        </x14:conditionalFormatting>
        <x14:conditionalFormatting xmlns:xm="http://schemas.microsoft.com/office/excel/2006/main">
          <x14:cfRule type="dataBar" id="{828C01B8-974E-4572-96B8-E9E59016B12D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M36</xm:sqref>
        </x14:conditionalFormatting>
        <x14:conditionalFormatting xmlns:xm="http://schemas.microsoft.com/office/excel/2006/main">
          <x14:cfRule type="dataBar" id="{4124DD73-F759-4F05-8B5A-830EBEFE4B46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L39</xm:sqref>
        </x14:conditionalFormatting>
        <x14:conditionalFormatting xmlns:xm="http://schemas.microsoft.com/office/excel/2006/main">
          <x14:cfRule type="dataBar" id="{085D52EE-7D19-4A52-8D93-6B50770D6808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M39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German Ravenna</dc:creator>
  <cp:lastModifiedBy>Leandro German Ravenna</cp:lastModifiedBy>
  <dcterms:created xsi:type="dcterms:W3CDTF">2026-10-02T20:37:29Z</dcterms:created>
  <dcterms:modified xsi:type="dcterms:W3CDTF">2026-10-02T22:23:26Z</dcterms:modified>
</cp:coreProperties>
</file>