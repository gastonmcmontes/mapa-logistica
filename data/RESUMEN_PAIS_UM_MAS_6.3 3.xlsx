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gmontes\Downloads\"/>
    </mc:Choice>
  </mc:AlternateContent>
  <xr:revisionPtr revIDLastSave="0" documentId="8_{4AE5437A-4915-4FE8-A6D0-5D01B4EA70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EN PAIS" sheetId="1" r:id="rId1"/>
    <sheet name="PLANTAS DOTACION" sheetId="2" r:id="rId2"/>
  </sheets>
  <definedNames>
    <definedName name="SegmentaciónDeDatos_CTP">#N/A</definedName>
    <definedName name="SegmentaciónDeDatos_CTP1">#N/A</definedName>
    <definedName name="SegmentaciónDeDatos_REGION">#N/A</definedName>
    <definedName name="SegmentaciónDeDatos_REGION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R44" i="1"/>
  <c r="R43" i="1"/>
  <c r="R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23" authorId="0" shapeId="0" xr:uid="{00000000-0006-0000-0100-000001000000}">
      <text>
        <r>
          <rPr>
            <sz val="11"/>
            <color theme="1"/>
            <rFont val="Calibri"/>
          </rPr>
          <t>Autor:
JEFE DE PLANTA</t>
        </r>
      </text>
    </comment>
  </commentList>
</comments>
</file>

<file path=xl/sharedStrings.xml><?xml version="1.0" encoding="utf-8"?>
<sst xmlns="http://schemas.openxmlformats.org/spreadsheetml/2006/main" count="691" uniqueCount="526">
  <si>
    <t>ESCENARIO DE INGRESO: 105.300 PIEZAS PROMEDIO DIARIO | 89,6% MAQUINABLE + 10,4% NO MAQUINABLE</t>
  </si>
  <si>
    <t>La imposición total corresponde a primera milla maquinable + primera milla no maquinable. Distribución por nodo mantenida proporcionalmente.</t>
  </si>
  <si>
    <t>Datos extraidos del QS tomando Junio'26 como objeto de comparacion y analisis</t>
  </si>
  <si>
    <t>Maquinables=Peso&lt;=7kg Ancho&lt;=45cm Alto&lt;=40cm Largo&lt;=60cm</t>
  </si>
  <si>
    <t>Destino T-Sorter</t>
  </si>
  <si>
    <t>PROCESO</t>
  </si>
  <si>
    <t>UM % PARTICIPACION</t>
  </si>
  <si>
    <t>PROMEDIO DIARIO</t>
  </si>
  <si>
    <t>PM relacion %</t>
  </si>
  <si>
    <t>ANALISIS REUBICACIÓN TOTAL</t>
  </si>
  <si>
    <t>REGION</t>
  </si>
  <si>
    <t>CTP</t>
  </si>
  <si>
    <t>Total Impo</t>
  </si>
  <si>
    <t>PM (Maq)</t>
  </si>
  <si>
    <t>PM (No Maq.)</t>
  </si>
  <si>
    <t>UM</t>
  </si>
  <si>
    <t>Piezas a procesar</t>
  </si>
  <si>
    <t>Regional</t>
  </si>
  <si>
    <t>Nacional</t>
  </si>
  <si>
    <t>PM Maq. Diario</t>
  </si>
  <si>
    <t>PM No Maq. Diario</t>
  </si>
  <si>
    <t>UM Diario</t>
  </si>
  <si>
    <t>Proceso Diario</t>
  </si>
  <si>
    <t>Maq.</t>
  </si>
  <si>
    <t>No Maq.</t>
  </si>
  <si>
    <t>FTE necesarioTotal</t>
  </si>
  <si>
    <t>DOTACIÓN AUXILIAR ACTUAL</t>
  </si>
  <si>
    <t>DOTACIÓN A REUBICAR</t>
  </si>
  <si>
    <t>CENTRO-NEA</t>
  </si>
  <si>
    <t>CORDOBA</t>
  </si>
  <si>
    <t>CORRIENTES</t>
  </si>
  <si>
    <t>PBA-LA PAMPA</t>
  </si>
  <si>
    <t>LA PLATA</t>
  </si>
  <si>
    <t>ROSARIO</t>
  </si>
  <si>
    <t>MAR DEL PLATA</t>
  </si>
  <si>
    <t>CUYO-NOA</t>
  </si>
  <si>
    <t>SALTA</t>
  </si>
  <si>
    <t>PERGAMINO</t>
  </si>
  <si>
    <t>SANTA FE</t>
  </si>
  <si>
    <t>MERCEDES</t>
  </si>
  <si>
    <t>PARANA</t>
  </si>
  <si>
    <t>BAHIA BLANCA</t>
  </si>
  <si>
    <t>MENDOZA</t>
  </si>
  <si>
    <t>POSADAS</t>
  </si>
  <si>
    <t>SUR</t>
  </si>
  <si>
    <t>NEUQUEN</t>
  </si>
  <si>
    <t>VILLA MARIA</t>
  </si>
  <si>
    <t>TUCUMAN</t>
  </si>
  <si>
    <t>RESISTENCIA</t>
  </si>
  <si>
    <t>JUJUY</t>
  </si>
  <si>
    <t>SAN JUAN</t>
  </si>
  <si>
    <t>SAN LUIS</t>
  </si>
  <si>
    <t>TRELEW</t>
  </si>
  <si>
    <t>SANTIAGO DEL ESTERO</t>
  </si>
  <si>
    <t>RIO CUARTO</t>
  </si>
  <si>
    <t>SANTA ROSA</t>
  </si>
  <si>
    <t>BARILOCHE</t>
  </si>
  <si>
    <t>COMODORO RIVADAVIA</t>
  </si>
  <si>
    <t>LA RIOJA</t>
  </si>
  <si>
    <t>RIO GALLEGOS</t>
  </si>
  <si>
    <t>CATAMARCA</t>
  </si>
  <si>
    <t>USHUAIA</t>
  </si>
  <si>
    <t>METROPOLITANA</t>
  </si>
  <si>
    <t>DP2 BARRACAS</t>
  </si>
  <si>
    <t>DP3 QUILMES</t>
  </si>
  <si>
    <t>DP4 LOMAS</t>
  </si>
  <si>
    <t>DP5 MORÓN</t>
  </si>
  <si>
    <t>DP6 VTE LÓPEZ</t>
  </si>
  <si>
    <t>TOTAL / ESCENARIO 105.300</t>
  </si>
  <si>
    <t>89,6% MAQ. + 10,4% NO MAQ.</t>
  </si>
  <si>
    <t>Cod de Planta</t>
  </si>
  <si>
    <t>Unidad operativa</t>
  </si>
  <si>
    <t>Provincia</t>
  </si>
  <si>
    <t>Ubicación</t>
  </si>
  <si>
    <t>Domicilio</t>
  </si>
  <si>
    <t>Coordenadas</t>
  </si>
  <si>
    <t>Region</t>
  </si>
  <si>
    <t>Unidad de Negocio</t>
  </si>
  <si>
    <t>Metros Cuadrados</t>
  </si>
  <si>
    <t>Dotacion total Actualizada</t>
  </si>
  <si>
    <t>DOTACION TOTAL</t>
  </si>
  <si>
    <t>FRANJA HORARIA TURNO NOCHE</t>
  </si>
  <si>
    <t>DOTACION JERARQUICO TURNO NOCHE</t>
  </si>
  <si>
    <t>DOTACION AUXILIARES TURNO NOCHE</t>
  </si>
  <si>
    <t>FRANJA HORARIA TURNO MAÑANA</t>
  </si>
  <si>
    <t>DOTACION JERARQUICO TURNO MAÑANA</t>
  </si>
  <si>
    <t>DOTACION AUXILIARES TURNO MAÑANA</t>
  </si>
  <si>
    <t>FRANJA HORARIA TURNO TARDE</t>
  </si>
  <si>
    <t>DOTACION JERARQUICO TURNO TARDE</t>
  </si>
  <si>
    <t>DOTACION AUXILIARES TURNO TARDE</t>
  </si>
  <si>
    <t>Proceso CDP</t>
  </si>
  <si>
    <t>Proceso CTP</t>
  </si>
  <si>
    <t>Proceso Pta Pta</t>
  </si>
  <si>
    <t>Proceso Clasificacion</t>
  </si>
  <si>
    <t>Volumenes de Venta</t>
  </si>
  <si>
    <t>Volumenes de Jurisdiccion</t>
  </si>
  <si>
    <t>Jefe de Planta</t>
  </si>
  <si>
    <t>Jefe de Nodo</t>
  </si>
  <si>
    <t>PLANOS</t>
  </si>
  <si>
    <t>es alquilada</t>
  </si>
  <si>
    <t>gasto vigilancia</t>
  </si>
  <si>
    <t>gasto limpieza</t>
  </si>
  <si>
    <t>gasto operativo</t>
  </si>
  <si>
    <t>MTS2</t>
  </si>
  <si>
    <t>TIPO</t>
  </si>
  <si>
    <t>ADICIONAL</t>
  </si>
  <si>
    <t>MEDIDAS DE SEGURIDAD / OBSERVACIONES</t>
  </si>
  <si>
    <t>LINEA TRONCAL DOMINGO</t>
  </si>
  <si>
    <t>LINEA TRONCAL LUNES</t>
  </si>
  <si>
    <t>LINEA TRONCAL MARTES</t>
  </si>
  <si>
    <t>SISTEMA OPERATIVO</t>
  </si>
  <si>
    <t>ESCENARIO DE REFERENCIA</t>
  </si>
  <si>
    <t>C12</t>
  </si>
  <si>
    <t>CLOG NEUQUEN</t>
  </si>
  <si>
    <t>Neuquen</t>
  </si>
  <si>
    <t>Obrero Argentino 86 - (Q8300ZAA) – Neuquén Capital</t>
  </si>
  <si>
    <t>-38.965924,-68.0509834</t>
  </si>
  <si>
    <t>Miñana Jorge</t>
  </si>
  <si>
    <t>NESTOR TRIVIÑO</t>
  </si>
  <si>
    <t>Neuquén-Plano (1).jpg</t>
  </si>
  <si>
    <t>LTN07 DOMINGO (BUE-C12-C12-BUE).xlsx</t>
  </si>
  <si>
    <t>LTN07 LUNES (BUE-C12-C12-BUE).xlsx</t>
  </si>
  <si>
    <t>105.300 piezas/día de imposición total</t>
  </si>
  <si>
    <t>CRD</t>
  </si>
  <si>
    <t>CTP COM. RIVADAVIA</t>
  </si>
  <si>
    <t>CHUBUT</t>
  </si>
  <si>
    <t>AV. SAN MARTIN N° 180  (U9000ZAA)-COM.RIVADAVIA-CHUBUT</t>
  </si>
  <si>
    <t>-45.861187,-67.4767167</t>
  </si>
  <si>
    <t>FABIAN ARIAS</t>
  </si>
  <si>
    <t>MACARENA VERA</t>
  </si>
  <si>
    <t>LTN05 DOMINGO (BUE-CRD-REL-CL4-BUE).xlsx</t>
  </si>
  <si>
    <t>89,6% maquinable | 10,4% no maquinable</t>
  </si>
  <si>
    <t>REL</t>
  </si>
  <si>
    <t>CTP TRELEW</t>
  </si>
  <si>
    <t>Irigoyen 2811 - U9102BHU - Chubut - Argentina</t>
  </si>
  <si>
    <t>-43.2721798,-65.2797974</t>
  </si>
  <si>
    <t>RINOLFI LUCAS</t>
  </si>
  <si>
    <t>VICTOR RUIZ</t>
  </si>
  <si>
    <t>Trelew-Ubicación Manzana.jpg</t>
  </si>
  <si>
    <t>Solapa de datos maestros: dotaciones, turnos y atributos de planta no se escalan con el volumen.</t>
  </si>
  <si>
    <t>C15</t>
  </si>
  <si>
    <t>CLOG RIO GALLEGOS</t>
  </si>
  <si>
    <t>Santa Cruz</t>
  </si>
  <si>
    <t>Rio Gallegos</t>
  </si>
  <si>
    <t>Ruta Nacional Nro.3 Km 2603 - Z9403GPA - Río Gallegos S.C. -</t>
  </si>
  <si>
    <t>-51.618225,-69.292593</t>
  </si>
  <si>
    <t>HORACIO RODRIGUEZ</t>
  </si>
  <si>
    <t>MICAELA CRUCES</t>
  </si>
  <si>
    <t>Río Gallegos-Plano.jpg</t>
  </si>
  <si>
    <t>LTN12 DOMINGO (BUE-RGL-BUE).xlsx</t>
  </si>
  <si>
    <t>BRC</t>
  </si>
  <si>
    <t>CTP BARILOCHE</t>
  </si>
  <si>
    <t>Rio Negro</t>
  </si>
  <si>
    <t>S.C. de Bariloche</t>
  </si>
  <si>
    <t>Rivadavia 830- S. C. de Bariloche (Q8400ZAA) - Rio Negro</t>
  </si>
  <si>
    <t>-41.1422742,-71.2926754</t>
  </si>
  <si>
    <t>FABIAN MEYER</t>
  </si>
  <si>
    <t>ROBERTO SIMBERO</t>
  </si>
  <si>
    <t>Bariloche-Plano.jpg</t>
  </si>
  <si>
    <t>LTN18 DOMINGO (BUE-C12-BRC-C12-BUE).xlsx</t>
  </si>
  <si>
    <t>VAE</t>
  </si>
  <si>
    <t>Tierra del Fuego</t>
  </si>
  <si>
    <t>Ushuaia</t>
  </si>
  <si>
    <t>Av. Gral. San Martín 309</t>
  </si>
  <si>
    <t>-54.8057983,-68.3025219</t>
  </si>
  <si>
    <t>RGA</t>
  </si>
  <si>
    <t>RIO GRANDE</t>
  </si>
  <si>
    <t>Rio Grande</t>
  </si>
  <si>
    <t>Rivadavia 968</t>
  </si>
  <si>
    <t>-53.7888536,-67.7038012</t>
  </si>
  <si>
    <t>C14</t>
  </si>
  <si>
    <t>BUENOS AIRES</t>
  </si>
  <si>
    <t>CALLE 510 N° 2247</t>
  </si>
  <si>
    <t>-34.9151298,-58.0065907</t>
  </si>
  <si>
    <t>PBA / LA PAMPA</t>
  </si>
  <si>
    <t>no</t>
  </si>
  <si>
    <t>03:00 a 13:12</t>
  </si>
  <si>
    <t>13:00 a 24:00</t>
  </si>
  <si>
    <t>MUGUERZA PABLO</t>
  </si>
  <si>
    <t>DOMINGUEZ DANIEL</t>
  </si>
  <si>
    <t>La Plata-Plano 1.pdf</t>
  </si>
  <si>
    <t>130 POSICIONES DE RACKS</t>
  </si>
  <si>
    <t>SIN CAMARAS</t>
  </si>
  <si>
    <t>LTN08 LUNES MAÑANA (BUE-C14-BUE).xlsx</t>
  </si>
  <si>
    <t>CL4</t>
  </si>
  <si>
    <t>CLOG BAHIA BLANCA</t>
  </si>
  <si>
    <t>DON BOSCO 3008</t>
  </si>
  <si>
    <t>-38.7121869,-62.3296128</t>
  </si>
  <si>
    <t>19:00 a 02:12</t>
  </si>
  <si>
    <t>04:00 a 11:12</t>
  </si>
  <si>
    <t>13:00 a 20:12</t>
  </si>
  <si>
    <t>ALEJANDRO VILAR</t>
  </si>
  <si>
    <t>MATTIOLI FABIAN</t>
  </si>
  <si>
    <t>Bahía Blanca-Plano.jpg</t>
  </si>
  <si>
    <t>A PISO</t>
  </si>
  <si>
    <t>SIN REJAS - SIN CAMARAS</t>
  </si>
  <si>
    <t>LTN09 DOMINGO (BUE-CL4-BUE).xlsx</t>
  </si>
  <si>
    <t>CL3</t>
  </si>
  <si>
    <t>CLOG MAR DEL PLATA</t>
  </si>
  <si>
    <t>Av Champagnat 1120/1150.</t>
  </si>
  <si>
    <t>-37.9650347,-57.5776538</t>
  </si>
  <si>
    <t>PILLADO SEBASTIAN</t>
  </si>
  <si>
    <t>REPETTI CARLOS</t>
  </si>
  <si>
    <t>Mar del Plata-Plano.jpg</t>
  </si>
  <si>
    <t>18 POSICIONES RACKS</t>
  </si>
  <si>
    <t>SIN CAMARAS / CON VIGILANCIA</t>
  </si>
  <si>
    <t>LTN06 LUNES (BUE-CL3-BUE).xlsx</t>
  </si>
  <si>
    <t>MER</t>
  </si>
  <si>
    <t>RUTA NACIONAL 5 KM 93,5</t>
  </si>
  <si>
    <t>-34.6587116,-59.3705243</t>
  </si>
  <si>
    <t>5 (compartido con ptapta)</t>
  </si>
  <si>
    <t>5 (compartido con CTP)</t>
  </si>
  <si>
    <t>WALTER PERRUELO</t>
  </si>
  <si>
    <t>MOUTIER GUSTAVO</t>
  </si>
  <si>
    <t>Mercedes -Croquis.jpg</t>
  </si>
  <si>
    <t>RACK</t>
  </si>
  <si>
    <t>CAMARAS Y PERSONAL DE SEGURIDAD PRIVADA</t>
  </si>
  <si>
    <t>LTN04 LUNES (BUE-MER-PER-MER-BUE).xlsx</t>
  </si>
  <si>
    <t>PER</t>
  </si>
  <si>
    <t>ECHEVARRIA 737</t>
  </si>
  <si>
    <t>-33.8906562,-60.572839</t>
  </si>
  <si>
    <t>NANCY DIGUERO</t>
  </si>
  <si>
    <t>MAIDANA FEDERICO</t>
  </si>
  <si>
    <t>PALLETS AL PISO</t>
  </si>
  <si>
    <t>ENRREJADO Y CAMARAS</t>
  </si>
  <si>
    <t>LTN10 LUNES (BUE-PER-MER-BUE).xlsx</t>
  </si>
  <si>
    <t>RSA</t>
  </si>
  <si>
    <t>LA PAMPA</t>
  </si>
  <si>
    <t>RIVADAVIA 202</t>
  </si>
  <si>
    <t>-36.6189544,-64.287404</t>
  </si>
  <si>
    <t>NO TIENE</t>
  </si>
  <si>
    <t>07:00 A 14:42</t>
  </si>
  <si>
    <t>13:00 A 20:42</t>
  </si>
  <si>
    <t>2 (Compartido)</t>
  </si>
  <si>
    <t>2 (compartido)</t>
  </si>
  <si>
    <t>ARIEL BRUNELLO</t>
  </si>
  <si>
    <t>IARLORI SEBASTIAN</t>
  </si>
  <si>
    <t>SIN ESPACIO DISPONIBLE</t>
  </si>
  <si>
    <t>LTN14 LUNES (BUE-RSA-RSA-MER-BUE).xlsx</t>
  </si>
  <si>
    <t>LTN14 MARTES (BUE-RSA-RSA-MER-BUE).xlsx</t>
  </si>
  <si>
    <t>DP2</t>
  </si>
  <si>
    <t>CAPITAL FEDERAL</t>
  </si>
  <si>
    <t>José Aarón Salmún Feijoo 555/47</t>
  </si>
  <si>
    <t>-34.639133,-58.3789432</t>
  </si>
  <si>
    <t>22:48 a 06:00hs</t>
  </si>
  <si>
    <t>06:00 a 13:12hs</t>
  </si>
  <si>
    <t>16:42 a 00:00hs</t>
  </si>
  <si>
    <t>Salazar Alan</t>
  </si>
  <si>
    <t>Adrián Gonzalez</t>
  </si>
  <si>
    <t>CPD SUR Barracas (1).pdf</t>
  </si>
  <si>
    <t>DP3</t>
  </si>
  <si>
    <t>Buenos Aires</t>
  </si>
  <si>
    <t>Quilmes Oeste-Bs.As</t>
  </si>
  <si>
    <t>Martin Rodriguez 199 (UF15)</t>
  </si>
  <si>
    <t>-34.7139416,-58.4939291</t>
  </si>
  <si>
    <t>23:00 a 06:12hs</t>
  </si>
  <si>
    <t>05:00 a 13:12hs</t>
  </si>
  <si>
    <t>14:48 a 00:00hs</t>
  </si>
  <si>
    <t>Cristian Valenzuela</t>
  </si>
  <si>
    <t>Julian Della villa</t>
  </si>
  <si>
    <t>CDP LA BERNALESA (1).pdf</t>
  </si>
  <si>
    <t>DP4</t>
  </si>
  <si>
    <t>LA MATANZA - TAPIALES</t>
  </si>
  <si>
    <t>DE LA LOMA 251</t>
  </si>
  <si>
    <t>-34.6304111,-58.7644768</t>
  </si>
  <si>
    <t>22:00 a 05:42hs / 23:00 a 06:12hs</t>
  </si>
  <si>
    <t>05:00 a 12: 42hs / 06:00 a 13:42hs / 07:00 a 14:42hs</t>
  </si>
  <si>
    <t xml:space="preserve">12: 48 a 20hs / 13:48  a 21:00hs / 14:48 a 22:00hs </t>
  </si>
  <si>
    <t>ARIEL CASTRO</t>
  </si>
  <si>
    <t>ARIEL GOMEZ</t>
  </si>
  <si>
    <t>Mercado Cental-Model.pdf</t>
  </si>
  <si>
    <t>DP5</t>
  </si>
  <si>
    <t>Moreno- Bs.As</t>
  </si>
  <si>
    <t>GRAHAM BELL Y COLECTORA ACCESO OESTE</t>
  </si>
  <si>
    <t>-34.5179159,-58.5133463</t>
  </si>
  <si>
    <t>22:00 a 05:12hs</t>
  </si>
  <si>
    <t>05:00 a 12:12hs</t>
  </si>
  <si>
    <t>12:30 a 20:12hs / 14:48 a 22:00hs / 16:48 a 00:00hs</t>
  </si>
  <si>
    <t>RODRIGUEZ MAXIMILIANO</t>
  </si>
  <si>
    <t>LIONIL ALFREDO</t>
  </si>
  <si>
    <t>EASY Moreno (1).pdf</t>
  </si>
  <si>
    <t>DP6</t>
  </si>
  <si>
    <t>Olivos - Bs. As.</t>
  </si>
  <si>
    <t>Pelliza 3750</t>
  </si>
  <si>
    <t>-34.7226221,-58.2823639</t>
  </si>
  <si>
    <t>14.00 a 00.00hs</t>
  </si>
  <si>
    <t>Pablo Giménez Espeche</t>
  </si>
  <si>
    <t>Daniel Lovera</t>
  </si>
  <si>
    <t>CDP Vicente Lopez (1).pdf</t>
  </si>
  <si>
    <t>CL6</t>
  </si>
  <si>
    <t>CLOG MENDOZA</t>
  </si>
  <si>
    <t>Coquimbito - MaIpu</t>
  </si>
  <si>
    <t xml:space="preserve">RODRIGUEZ PEÑA 3167 </t>
  </si>
  <si>
    <t>-32.9394438,-68.7674755</t>
  </si>
  <si>
    <t>CUYO - NOA</t>
  </si>
  <si>
    <t>22:30 a 06:00</t>
  </si>
  <si>
    <t>06:00 a 15:12</t>
  </si>
  <si>
    <t>15:30 a 00:42</t>
  </si>
  <si>
    <t>incluido en dotacion CTP</t>
  </si>
  <si>
    <t>ZARATE RICARDO</t>
  </si>
  <si>
    <t>SANJURJO MARCELO</t>
  </si>
  <si>
    <t>MENDOZA.pdf</t>
  </si>
  <si>
    <t>LTN03 DOMINGO (BUE-CL6-CL6-LUQ-BUE).xlsx</t>
  </si>
  <si>
    <t>UAQ</t>
  </si>
  <si>
    <t>CIUDAD</t>
  </si>
  <si>
    <t>IGNACIO DE LA ROSA 223 Este</t>
  </si>
  <si>
    <t>-31.537304, -68.522559</t>
  </si>
  <si>
    <t>no posee</t>
  </si>
  <si>
    <t>05:00 a 13:12</t>
  </si>
  <si>
    <t>11:30 a 19:12</t>
  </si>
  <si>
    <t>BRUNORI GASTON</t>
  </si>
  <si>
    <t xml:space="preserve">BALMACEDA </t>
  </si>
  <si>
    <t>LUQ</t>
  </si>
  <si>
    <t>Parque Industrial Norte</t>
  </si>
  <si>
    <t>CALLE 107 entre 1 y 3</t>
  </si>
  <si>
    <t>-33.316819,-66.3670048</t>
  </si>
  <si>
    <t>21:30 a 05:12</t>
  </si>
  <si>
    <t>05:00 A 12:12</t>
  </si>
  <si>
    <t>12:00 a 23:12</t>
  </si>
  <si>
    <t>incluido en dotacion Clog</t>
  </si>
  <si>
    <t>FLORES RUBEN</t>
  </si>
  <si>
    <t>CORREA CARLOS</t>
  </si>
  <si>
    <t>San Luis-Plano.jpg</t>
  </si>
  <si>
    <t>LTN16 LUNES (BUE-VMR-RCU-LUQ-CL6-LUQ-BUE).xlsx</t>
  </si>
  <si>
    <t>CTC</t>
  </si>
  <si>
    <t>catamarca capital</t>
  </si>
  <si>
    <t>SAN MARTIN 76</t>
  </si>
  <si>
    <t>-28.4694474,-65.7761198</t>
  </si>
  <si>
    <t>3:00 A 10:42</t>
  </si>
  <si>
    <t>08:00 A 15:42</t>
  </si>
  <si>
    <t>14:42 A 20:00</t>
  </si>
  <si>
    <t>MOLINA LUIS</t>
  </si>
  <si>
    <t>JOSE ALVAREZ</t>
  </si>
  <si>
    <t>CL8</t>
  </si>
  <si>
    <t>CLOG LA RIOJA</t>
  </si>
  <si>
    <t>La Rioja capital</t>
  </si>
  <si>
    <t>PERON 258</t>
  </si>
  <si>
    <t>-29.429071, -66.860352</t>
  </si>
  <si>
    <t>22:00 a 05:12</t>
  </si>
  <si>
    <t>05:00 A 15:42</t>
  </si>
  <si>
    <t>15:00 a 22:42</t>
  </si>
  <si>
    <t>FERNANDEZ ALEJANDRO</t>
  </si>
  <si>
    <t>ACEVEDO NICOLAS</t>
  </si>
  <si>
    <t>LA RIOJA.pdf</t>
  </si>
  <si>
    <t>LTN13 LUNES (BUE-CL7-IRJ-CL7-BUE).xlsx</t>
  </si>
  <si>
    <t>JUJ</t>
  </si>
  <si>
    <t>Barrio Cnel Arias</t>
  </si>
  <si>
    <t>guayaquil 121</t>
  </si>
  <si>
    <t>-24.2115355,-65.2840565</t>
  </si>
  <si>
    <t>22:22 A 5:42</t>
  </si>
  <si>
    <t>04:30 A 16:12</t>
  </si>
  <si>
    <t>13:00 A 23:12</t>
  </si>
  <si>
    <t>PEÑALOZA MIGUEL</t>
  </si>
  <si>
    <t>LUNA FEDERICO</t>
  </si>
  <si>
    <t>Jujuy-Plano 2.pdf</t>
  </si>
  <si>
    <t>LTN17 DOMINGO (BUE-CL5-JUJ-CL5-C10-BUE).xlsx</t>
  </si>
  <si>
    <t>LTN17 MARTES (BUE-CL5-JUJ-CL5-C10-BUE).xlsx</t>
  </si>
  <si>
    <t>CL5</t>
  </si>
  <si>
    <t>Gral. Alvarado</t>
  </si>
  <si>
    <t>Avda. Kennedy - Ruta 51 km 2,5</t>
  </si>
  <si>
    <t>-24.8383304,-65.4543066</t>
  </si>
  <si>
    <t>20:00 s 5:42</t>
  </si>
  <si>
    <t>06:00 A 15:42</t>
  </si>
  <si>
    <t>14:30 A 21:42</t>
  </si>
  <si>
    <t>LEYES JUAN PABLO</t>
  </si>
  <si>
    <t>ROJAS JOSE</t>
  </si>
  <si>
    <t>SALTA.pdf</t>
  </si>
  <si>
    <t>C11</t>
  </si>
  <si>
    <t>CLOG SANTIAGO DEL ESTERO</t>
  </si>
  <si>
    <t>Almirante Brown</t>
  </si>
  <si>
    <t>INDEPENDENCIA N° 3853</t>
  </si>
  <si>
    <t>-27.8268847,-64.2346452</t>
  </si>
  <si>
    <t>19:00 A 02:12</t>
  </si>
  <si>
    <t>05:00 A 12:42</t>
  </si>
  <si>
    <t>12:00 A 19:42</t>
  </si>
  <si>
    <t>CHAVEZ JUAN</t>
  </si>
  <si>
    <t>ALEJANDRO ALTAMIRANDA</t>
  </si>
  <si>
    <t>SANTIAGO DEL ESTERO.pdf</t>
  </si>
  <si>
    <t>LTN01 DOMINGO (BUE-C11-C10-C10-C11-CL7-BUE).xlsx</t>
  </si>
  <si>
    <t>C10</t>
  </si>
  <si>
    <t>CLOG TUCUMAN</t>
  </si>
  <si>
    <t>Las Talitas</t>
  </si>
  <si>
    <t>calle1 V MM</t>
  </si>
  <si>
    <t>-26.7835433,-65.190047</t>
  </si>
  <si>
    <t>23:00 A  06:42</t>
  </si>
  <si>
    <t>5:00 A 14:30</t>
  </si>
  <si>
    <t>14:00 A 21:42</t>
  </si>
  <si>
    <t>ACOSTA RICARDO</t>
  </si>
  <si>
    <t>BARRAZA DANIEL</t>
  </si>
  <si>
    <t>Tucumán-Plano.jpg</t>
  </si>
  <si>
    <t>ROL</t>
  </si>
  <si>
    <t>CLOG ROSARIO</t>
  </si>
  <si>
    <t>Santa Fe</t>
  </si>
  <si>
    <t>Rosario</t>
  </si>
  <si>
    <t>Santiago 3670</t>
  </si>
  <si>
    <t>-32.9986189,-60.6949678</t>
  </si>
  <si>
    <t>CENTRO - NEA</t>
  </si>
  <si>
    <t>00:00 a 07:00</t>
  </si>
  <si>
    <t>07:00 a 16:00</t>
  </si>
  <si>
    <t>16:00 a 00:00</t>
  </si>
  <si>
    <t>Diego Rodolfo Gómez</t>
  </si>
  <si>
    <t>Jorge Arguelles</t>
  </si>
  <si>
    <t>4.5 m2 (3 posiciones de racks)</t>
  </si>
  <si>
    <t>en altura rackeados</t>
  </si>
  <si>
    <t>no cuenta con rejas, ni cámaras</t>
  </si>
  <si>
    <t>LTN11 DOMINGO (BUE-ROL-BUE).xlsx</t>
  </si>
  <si>
    <t>LTN11 LUNES (BUE-ROL-BUE).xlsx</t>
  </si>
  <si>
    <t>CL9</t>
  </si>
  <si>
    <t>CLOG SANTA FE</t>
  </si>
  <si>
    <t>A. del Valle 10627</t>
  </si>
  <si>
    <t>-31.6847091,-60.7902635</t>
  </si>
  <si>
    <t>19:00 a 07:12</t>
  </si>
  <si>
    <t>06:00 a 16:42</t>
  </si>
  <si>
    <t>13:00 a 00:12</t>
  </si>
  <si>
    <t>Diego Bravo</t>
  </si>
  <si>
    <t>Sandra Cejas</t>
  </si>
  <si>
    <t>Santa Fe-Plano (1).jpg</t>
  </si>
  <si>
    <t>25m2 disponibles en el sector de ingreso próximo a la oficina de PAS. 70m2 solo a disposición en los casos que se continue con el retiro de lo procesado en la fecha</t>
  </si>
  <si>
    <t>Racks en el sector de almacén con 96 posiciones disponibles. Pallet a piso en los 25m2 disponibles</t>
  </si>
  <si>
    <t>Cámaras sin monitoreo, Matafuegos, y Sistema contra incendio</t>
  </si>
  <si>
    <t>LTN02 BIS DOMINGO (BUE-CL9-NIJ-CL9ROL-BUE).xlsx</t>
  </si>
  <si>
    <t>C13</t>
  </si>
  <si>
    <t>CLOG POSADAS</t>
  </si>
  <si>
    <t>MISIONES</t>
  </si>
  <si>
    <t>Posadas</t>
  </si>
  <si>
    <t>AV.ANDRESITO 3379</t>
  </si>
  <si>
    <t>-27.3965033,-55.9135819</t>
  </si>
  <si>
    <t>17:00 a 00:40</t>
  </si>
  <si>
    <t>004:00 a 12:40</t>
  </si>
  <si>
    <t>14:00 a 21:40</t>
  </si>
  <si>
    <t>1500 a 2400</t>
  </si>
  <si>
    <t>1000 a 2000</t>
  </si>
  <si>
    <t>RUIZDIAZ PEDRO</t>
  </si>
  <si>
    <t>KUASNISKI LEONARDO</t>
  </si>
  <si>
    <t>Posadas-Plano.jpg</t>
  </si>
  <si>
    <t>300 MTS</t>
  </si>
  <si>
    <t>racks para 8 pallet     pallet en piso 30</t>
  </si>
  <si>
    <t>portones de hierro con candados. Guardia privada las 24hs y policia de las 20:00 a 08:00 entre semana y finde semana y fariado las 24hs. No posee cámaras de seguridad como así tampoco rejas</t>
  </si>
  <si>
    <t>LTN15 LUNES (BUE-NCQ-C13-BUE).xlsx</t>
  </si>
  <si>
    <t>NCQ</t>
  </si>
  <si>
    <t>CLOG CORRIENTES</t>
  </si>
  <si>
    <t>Corrientes</t>
  </si>
  <si>
    <t>Ruta Nac. 12 KM 1027</t>
  </si>
  <si>
    <t>-27.5058404,-58.7739109</t>
  </si>
  <si>
    <t>20:30 a 06:12</t>
  </si>
  <si>
    <t>06:00 a 16:12</t>
  </si>
  <si>
    <t>12:30 a 22:12</t>
  </si>
  <si>
    <t>1500 a 1800</t>
  </si>
  <si>
    <t>5000 a 8000</t>
  </si>
  <si>
    <t>Lencina Pisarello Agustin (I)</t>
  </si>
  <si>
    <t>Morales Juan Manuel</t>
  </si>
  <si>
    <t>Corrientes-Plano.jpg</t>
  </si>
  <si>
    <t>550 m2</t>
  </si>
  <si>
    <t>Pallets al piso</t>
  </si>
  <si>
    <t>Cámaras de seguridad con monitoreo permanente</t>
  </si>
  <si>
    <t>LTN02 DOMINGO (BUE-RPQ-NCQ-CL9-ROL-BUE).xlsx</t>
  </si>
  <si>
    <t>CL7</t>
  </si>
  <si>
    <t>CLOG CORDOBA</t>
  </si>
  <si>
    <t>Cordoba</t>
  </si>
  <si>
    <t>Av. Agustín Tosco 2750</t>
  </si>
  <si>
    <t>-31.4716247,-64.1601023</t>
  </si>
  <si>
    <t>00:00 a 07:12</t>
  </si>
  <si>
    <t>07:00 a 17:12</t>
  </si>
  <si>
    <t>16:00 a 23:12</t>
  </si>
  <si>
    <t>BELLANDO MARCELO</t>
  </si>
  <si>
    <t>FERNANDO MALDONADO</t>
  </si>
  <si>
    <t>Córdoba-Plano.jpg</t>
  </si>
  <si>
    <t>1030 m2</t>
  </si>
  <si>
    <t>racks 3 niveles</t>
  </si>
  <si>
    <t>600 posiciones. el 100% ocupado por CLARO</t>
  </si>
  <si>
    <t>No se cuenta con rejas, hay cámaras que cubren la mayoría de los pasillos. No hay sistema de stock.</t>
  </si>
  <si>
    <t>LTN01 BIS DOMINGO (BUE-CL7-BUE).xlsx</t>
  </si>
  <si>
    <t>NIJ</t>
  </si>
  <si>
    <t>CLOG PARANA</t>
  </si>
  <si>
    <t>Entre Rios</t>
  </si>
  <si>
    <t>Parana</t>
  </si>
  <si>
    <t>Blas Parera 1115</t>
  </si>
  <si>
    <t>-31.7422813,-60.4943971</t>
  </si>
  <si>
    <t>22:00 a 06:30</t>
  </si>
  <si>
    <t>6:30 a 15:30</t>
  </si>
  <si>
    <t>12:00 a 22:15</t>
  </si>
  <si>
    <t>Esquivel Luciano</t>
  </si>
  <si>
    <t>Visciconti Alfredo</t>
  </si>
  <si>
    <t>Paraná-Plano 2.pdf</t>
  </si>
  <si>
    <t>200 m2</t>
  </si>
  <si>
    <t>Pallets en piso</t>
  </si>
  <si>
    <t>Cámaras; no hay rejas de separación de sectores</t>
  </si>
  <si>
    <t>LTN20 DOMINGO (BUE-NIJ-BUE).xlsx</t>
  </si>
  <si>
    <t>LTN20 MARTES (BUE-NIJ-NIJ-CL9-BUE).xlsx</t>
  </si>
  <si>
    <t>RPQ</t>
  </si>
  <si>
    <t>CLOG RESISTENCIA</t>
  </si>
  <si>
    <t>CHACO</t>
  </si>
  <si>
    <t>Resistencia</t>
  </si>
  <si>
    <t>RN16 KM 15.3</t>
  </si>
  <si>
    <t>-27.4097866,-58.9797857</t>
  </si>
  <si>
    <t>20:00 a 03:12</t>
  </si>
  <si>
    <t>14:00 a 21:12</t>
  </si>
  <si>
    <t>GARAY DIEGO</t>
  </si>
  <si>
    <t>GARAY RICARDO</t>
  </si>
  <si>
    <t>Resistencia-Plano ampliación (1).pdf</t>
  </si>
  <si>
    <t>9 m2</t>
  </si>
  <si>
    <t>Camara de seguridad, monitoreadas desde CTP BUE</t>
  </si>
  <si>
    <t>VMR</t>
  </si>
  <si>
    <t>Villa Maria</t>
  </si>
  <si>
    <t>INT MACIEL 901 ESQ TT. IBAÑEZ</t>
  </si>
  <si>
    <t>-32.3941616,-63.2386124</t>
  </si>
  <si>
    <t>6 AUX OPERATIVO  2 ENCARGADOS</t>
  </si>
  <si>
    <t>NO</t>
  </si>
  <si>
    <t>BORDINI RODOLFO</t>
  </si>
  <si>
    <t>DARDANO JUAN</t>
  </si>
  <si>
    <t>Villa María-Plano 1.pdf</t>
  </si>
  <si>
    <t>16 M2</t>
  </si>
  <si>
    <t>PISO</t>
  </si>
  <si>
    <t>CAMARA Y CUSTODIA POLICIAL LAS 24:00 HS</t>
  </si>
  <si>
    <t>LTN16 MARTES (BUE-VMR-RCU-LUQ-RCU-VMR-BUE).xlsx</t>
  </si>
  <si>
    <t>RCU</t>
  </si>
  <si>
    <t>Rio Cuarto</t>
  </si>
  <si>
    <t>Arturo M. Bas 2389</t>
  </si>
  <si>
    <t>-33.1223883,-64.3816389</t>
  </si>
  <si>
    <t>05:00 a 12:12</t>
  </si>
  <si>
    <t>15:00 a 00:12</t>
  </si>
  <si>
    <t>GUILLERMO MOJICA</t>
  </si>
  <si>
    <t>LEONARDO PANOTTO</t>
  </si>
  <si>
    <t>Río Cuarto-Plano 1.jpg</t>
  </si>
  <si>
    <t>81 m2</t>
  </si>
  <si>
    <t>seguridad privada dentro de la planta durante el día, luego durante tarde noche hay 2 de seguridad tanto privada como Policial en el horario nocturno de 19 a 07:00 hs de lunes a lunes, cámaras de seguridad (2) que las mismas nosotros no tenemos 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</si>
</sst>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"/>
    <numFmt numFmtId="166" formatCode="#,##0.0"/>
  </numFmts>
  <fonts count="14">
    <font>
      <sz val="11"/>
      <color theme="1"/>
      <name val="Calibri"/>
    </font>
    <font>
      <sz val="11"/>
      <color theme="1"/>
      <name val="Segoe U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Segoe UI"/>
    </font>
    <font>
      <b/>
      <i/>
      <sz val="11"/>
      <color theme="9" tint="-0.249977111117893"/>
      <name val="Segoe UI"/>
    </font>
    <font>
      <sz val="11"/>
      <color theme="0"/>
      <name val="Segoe UI"/>
    </font>
    <font>
      <sz val="11"/>
      <color theme="0"/>
      <name val="Calibri"/>
    </font>
    <font>
      <b/>
      <sz val="12"/>
      <color rgb="FFFFFFFF"/>
      <name val="Calibri"/>
    </font>
    <font>
      <i/>
      <sz val="10"/>
      <color rgb="FF1F1F1F"/>
      <name val="Calibri"/>
    </font>
    <font>
      <b/>
      <sz val="11"/>
      <color rgb="FF1F1F1F"/>
      <name val="Calibri"/>
    </font>
    <font>
      <b/>
      <sz val="14"/>
      <color rgb="FF1F1F1F"/>
      <name val="Segoe U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5"/>
      </patternFill>
    </fill>
    <fill>
      <patternFill patternType="solid">
        <fgColor theme="4"/>
      </patternFill>
    </fill>
    <fill>
      <patternFill patternType="solid">
        <fgColor rgb="FF00206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3" borderId="0" applyNumberFormat="0" applyBorder="0" applyAlignment="0" applyProtection="0"/>
  </cellStyleXfs>
  <cellXfs count="3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0" fillId="0" borderId="1" xfId="0" applyBorder="1"/>
    <xf numFmtId="0" fontId="3" fillId="2" borderId="0" xfId="0" applyFont="1" applyFill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165" fontId="1" fillId="0" borderId="0" xfId="0" applyNumberFormat="1" applyFont="1"/>
    <xf numFmtId="164" fontId="1" fillId="0" borderId="0" xfId="1" applyNumberFormat="1" applyFont="1"/>
    <xf numFmtId="0" fontId="11" fillId="8" borderId="0" xfId="0" applyFont="1" applyFill="1"/>
    <xf numFmtId="3" fontId="12" fillId="8" borderId="0" xfId="0" applyNumberFormat="1" applyFont="1" applyFill="1"/>
    <xf numFmtId="164" fontId="12" fillId="8" borderId="0" xfId="0" applyNumberFormat="1" applyFont="1" applyFill="1"/>
    <xf numFmtId="166" fontId="12" fillId="8" borderId="0" xfId="0" applyNumberFormat="1" applyFont="1" applyFill="1"/>
    <xf numFmtId="165" fontId="12" fillId="8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164" fontId="1" fillId="5" borderId="0" xfId="0" applyNumberFormat="1" applyFont="1" applyFill="1"/>
    <xf numFmtId="166" fontId="1" fillId="5" borderId="0" xfId="0" applyNumberFormat="1" applyFont="1" applyFill="1"/>
    <xf numFmtId="165" fontId="1" fillId="5" borderId="0" xfId="0" applyNumberFormat="1" applyFont="1" applyFill="1"/>
    <xf numFmtId="165" fontId="6" fillId="5" borderId="0" xfId="0" applyNumberFormat="1" applyFont="1" applyFill="1" applyAlignment="1">
      <alignment horizontal="right"/>
    </xf>
    <xf numFmtId="0" fontId="9" fillId="6" borderId="0" xfId="0" applyFont="1" applyFill="1" applyAlignment="1">
      <alignment wrapText="1"/>
    </xf>
    <xf numFmtId="0" fontId="10" fillId="7" borderId="0" xfId="0" applyFont="1" applyFill="1" applyAlignment="1">
      <alignment wrapText="1"/>
    </xf>
    <xf numFmtId="0" fontId="5" fillId="4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6" borderId="0" xfId="0" applyFont="1" applyFill="1" applyAlignment="1">
      <alignment wrapText="1"/>
    </xf>
    <xf numFmtId="0" fontId="0" fillId="7" borderId="0" xfId="0" applyFill="1" applyAlignment="1">
      <alignment wrapText="1"/>
    </xf>
  </cellXfs>
  <cellStyles count="4">
    <cellStyle name="Énfasis1" xfId="3" xr:uid="{00000000-0005-0000-0000-000000000000}"/>
    <cellStyle name="Millares" xfId="2" xr:uid="{00000000-0005-0000-0000-000001000000}"/>
    <cellStyle name="Normal" xfId="0" builtinId="0"/>
    <cellStyle name="Porcentaje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676275</xdr:colOff>
      <xdr:row>47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9A2E5C9-2272-D8EE-3A31-F6BB60CE50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260350</xdr:colOff>
      <xdr:row>48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D74AE44-5A36-4FCA-DF18-BC8DB15541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0:R46">
  <tableColumns count="18">
    <tableColumn id="1" xr3:uid="{00000000-0010-0000-0000-000001000000}" name="REGION" totalsRowLabel="TOTAL / ESCENARIO 105.300"/>
    <tableColumn id="2" xr3:uid="{00000000-0010-0000-0000-000002000000}" name="CTP" totalsRowLabel="89,6% MAQ. + 10,4% NO MAQ."/>
    <tableColumn id="18" xr3:uid="{00000000-0010-0000-0000-000012000000}" name="Total Impo"/>
    <tableColumn id="14" xr3:uid="{00000000-0010-0000-0000-00000E000000}" name="PM (Maq)"/>
    <tableColumn id="3" xr3:uid="{00000000-0010-0000-0000-000003000000}" name="PM (No Maq.)"/>
    <tableColumn id="4" xr3:uid="{00000000-0010-0000-0000-000004000000}" name="UM"/>
    <tableColumn id="5" xr3:uid="{00000000-0010-0000-0000-000005000000}" name="Piezas a procesar"/>
    <tableColumn id="6" xr3:uid="{00000000-0010-0000-0000-000006000000}" name="Regional"/>
    <tableColumn id="7" xr3:uid="{00000000-0010-0000-0000-000007000000}" name="Nacional"/>
    <tableColumn id="13" xr3:uid="{00000000-0010-0000-0000-00000D000000}" name="PM Maq. Diario"/>
    <tableColumn id="8" xr3:uid="{00000000-0010-0000-0000-000008000000}" name="PM No Maq. Diario"/>
    <tableColumn id="9" xr3:uid="{00000000-0010-0000-0000-000009000000}" name="UM Diario"/>
    <tableColumn id="10" xr3:uid="{00000000-0010-0000-0000-00000A000000}" name="Proceso Diario"/>
    <tableColumn id="11" xr3:uid="{00000000-0010-0000-0000-00000B000000}" name="Maq."/>
    <tableColumn id="12" xr3:uid="{00000000-0010-0000-0000-00000C000000}" name="No Maq."/>
    <tableColumn id="15" xr3:uid="{00000000-0010-0000-0000-00000F000000}" name="FTE necesarioTotal"/>
    <tableColumn id="16" xr3:uid="{00000000-0010-0000-0000-000010000000}" name="DOTACIÓN AUXILIAR ACTUAL"/>
    <tableColumn id="17" xr3:uid="{00000000-0010-0000-0000-000011000000}" name="DOTACIÓN A REUBIC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showGridLines="0" tabSelected="1" topLeftCell="D29" workbookViewId="0">
      <selection activeCell="G48" sqref="G48"/>
    </sheetView>
  </sheetViews>
  <sheetFormatPr defaultColWidth="8.7109375" defaultRowHeight="16.5"/>
  <cols>
    <col min="1" max="1" width="15.5703125" style="9" customWidth="1"/>
    <col min="2" max="2" width="20" style="9" customWidth="1"/>
    <col min="3" max="3" width="18.140625" style="9" customWidth="1"/>
    <col min="4" max="4" width="19.7109375" style="9" customWidth="1"/>
    <col min="5" max="5" width="16.140625" style="9" customWidth="1"/>
    <col min="6" max="6" width="12.5703125" style="9" bestFit="1" customWidth="1"/>
    <col min="7" max="7" width="18.85546875" style="9" customWidth="1"/>
    <col min="8" max="8" width="9.7109375" style="9" customWidth="1"/>
    <col min="9" max="9" width="10" style="9" customWidth="1"/>
    <col min="10" max="10" width="17.5703125" style="9" customWidth="1"/>
    <col min="11" max="11" width="20.7109375" style="9" customWidth="1"/>
    <col min="12" max="12" width="14.42578125" style="9" customWidth="1"/>
    <col min="13" max="13" width="16.42578125" style="9" customWidth="1"/>
    <col min="14" max="14" width="13.140625" style="9" customWidth="1"/>
    <col min="15" max="15" width="14.7109375" style="9" customWidth="1"/>
    <col min="16" max="16" width="15.5703125" style="9" customWidth="1"/>
    <col min="17" max="17" width="17" style="9" customWidth="1"/>
    <col min="18" max="18" width="17.140625" style="9" customWidth="1"/>
    <col min="19" max="16384" width="8.7109375" style="9"/>
  </cols>
  <sheetData>
    <row r="1" spans="1:18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5" customHeight="1">
      <c r="E3" s="32" t="s">
        <v>2</v>
      </c>
      <c r="F3" s="33"/>
      <c r="G3" s="33"/>
      <c r="H3" s="33"/>
      <c r="I3" s="33"/>
      <c r="J3" s="33"/>
      <c r="K3" s="32" t="s">
        <v>3</v>
      </c>
      <c r="L3" s="33"/>
      <c r="M3" s="33"/>
      <c r="N3" s="33"/>
      <c r="O3" s="33"/>
      <c r="P3" s="33"/>
    </row>
    <row r="4" spans="1:18" ht="15" customHeight="1">
      <c r="E4" s="32"/>
      <c r="F4" s="33"/>
      <c r="G4" s="33"/>
      <c r="H4" s="33"/>
      <c r="I4" s="33"/>
      <c r="J4" s="33"/>
      <c r="K4" s="32"/>
      <c r="L4" s="33"/>
      <c r="M4" s="33"/>
      <c r="N4" s="33"/>
      <c r="O4" s="33"/>
      <c r="P4" s="33"/>
    </row>
    <row r="5" spans="1:18" ht="15" customHeight="1">
      <c r="E5" s="32"/>
      <c r="F5" s="33"/>
      <c r="G5" s="33"/>
      <c r="H5" s="33"/>
      <c r="I5" s="33"/>
      <c r="J5" s="33"/>
      <c r="K5" s="32"/>
      <c r="L5" s="33"/>
      <c r="M5" s="33"/>
      <c r="N5" s="33"/>
      <c r="O5" s="33"/>
      <c r="P5" s="33"/>
    </row>
    <row r="6" spans="1:18" ht="15" customHeight="1">
      <c r="N6" s="10"/>
    </row>
    <row r="8" spans="1:18" ht="15" customHeight="1"/>
    <row r="9" spans="1:18" ht="21.75" customHeight="1">
      <c r="A9" s="28" t="s">
        <v>4</v>
      </c>
      <c r="B9" s="28"/>
      <c r="C9" s="28"/>
      <c r="D9" s="28"/>
      <c r="E9" s="28" t="s">
        <v>5</v>
      </c>
      <c r="F9" s="28"/>
      <c r="G9" s="28"/>
      <c r="H9" s="28" t="s">
        <v>6</v>
      </c>
      <c r="I9" s="28"/>
      <c r="J9" s="28" t="s">
        <v>7</v>
      </c>
      <c r="K9" s="28"/>
      <c r="L9" s="28"/>
      <c r="M9" s="28"/>
      <c r="N9" s="29" t="s">
        <v>8</v>
      </c>
      <c r="O9" s="30"/>
      <c r="P9" s="29" t="s">
        <v>9</v>
      </c>
      <c r="Q9" s="30"/>
      <c r="R9" s="31"/>
    </row>
    <row r="10" spans="1:18" ht="51.75" customHeight="1">
      <c r="A10" s="11" t="s">
        <v>10</v>
      </c>
      <c r="B10" s="11" t="s">
        <v>11</v>
      </c>
      <c r="C10" s="11" t="s">
        <v>12</v>
      </c>
      <c r="D10" s="12" t="s">
        <v>13</v>
      </c>
      <c r="E10" s="11" t="s">
        <v>14</v>
      </c>
      <c r="F10" s="11" t="s">
        <v>15</v>
      </c>
      <c r="G10" s="11" t="s">
        <v>16</v>
      </c>
      <c r="H10" s="11" t="s">
        <v>17</v>
      </c>
      <c r="I10" s="11" t="s">
        <v>18</v>
      </c>
      <c r="J10" s="11" t="s">
        <v>19</v>
      </c>
      <c r="K10" s="11" t="s">
        <v>20</v>
      </c>
      <c r="L10" s="11" t="s">
        <v>21</v>
      </c>
      <c r="M10" s="11" t="s">
        <v>22</v>
      </c>
      <c r="N10" s="11" t="s">
        <v>23</v>
      </c>
      <c r="O10" s="11" t="s">
        <v>24</v>
      </c>
      <c r="P10" s="7" t="s">
        <v>25</v>
      </c>
      <c r="Q10" s="8" t="s">
        <v>26</v>
      </c>
      <c r="R10" s="7" t="s">
        <v>27</v>
      </c>
    </row>
    <row r="11" spans="1:18">
      <c r="A11" s="20" t="s">
        <v>28</v>
      </c>
      <c r="B11" s="20" t="s">
        <v>29</v>
      </c>
      <c r="C11" s="21">
        <v>126126.05254102855</v>
      </c>
      <c r="D11" s="21">
        <v>113008.94307676158</v>
      </c>
      <c r="E11" s="21">
        <v>13117.109464266969</v>
      </c>
      <c r="F11" s="21">
        <v>134644</v>
      </c>
      <c r="G11" s="21">
        <v>147761.10946426698</v>
      </c>
      <c r="H11" s="22">
        <v>0.91122759221404548</v>
      </c>
      <c r="I11" s="22">
        <v>5.6693588993246197E-2</v>
      </c>
      <c r="J11" s="23">
        <v>5381.3782417505518</v>
      </c>
      <c r="K11" s="23">
        <v>624.62426020318901</v>
      </c>
      <c r="L11" s="23">
        <v>6815.5510476190502</v>
      </c>
      <c r="M11" s="23">
        <v>7036.2433078222366</v>
      </c>
      <c r="N11" s="22">
        <v>0.89600000000000002</v>
      </c>
      <c r="O11" s="22">
        <v>0.104</v>
      </c>
      <c r="P11" s="24">
        <v>29.715079365079365</v>
      </c>
      <c r="Q11" s="24">
        <v>122</v>
      </c>
      <c r="R11" s="25">
        <v>92.284920634920638</v>
      </c>
    </row>
    <row r="12" spans="1:18">
      <c r="A12" s="20" t="s">
        <v>28</v>
      </c>
      <c r="B12" s="20" t="s">
        <v>30</v>
      </c>
      <c r="C12" s="21">
        <v>102545.99716561884</v>
      </c>
      <c r="D12" s="21">
        <v>91881.213460394487</v>
      </c>
      <c r="E12" s="21">
        <v>10664.783705224359</v>
      </c>
      <c r="F12" s="21">
        <v>124745</v>
      </c>
      <c r="G12" s="21">
        <v>135409.78370522437</v>
      </c>
      <c r="H12" s="22">
        <v>0.92124067099582185</v>
      </c>
      <c r="I12" s="22">
        <v>4.6094367492544801E-2</v>
      </c>
      <c r="J12" s="23">
        <v>4375.2958790664043</v>
      </c>
      <c r="K12" s="23">
        <v>507.84684310592189</v>
      </c>
      <c r="L12" s="23">
        <v>6314.4730952380996</v>
      </c>
      <c r="M12" s="23">
        <v>6448.0849383440172</v>
      </c>
      <c r="N12" s="22">
        <v>0.89600000000000002</v>
      </c>
      <c r="O12" s="22">
        <v>0.104</v>
      </c>
      <c r="P12" s="24">
        <v>35.750992063492063</v>
      </c>
      <c r="Q12" s="24">
        <v>56</v>
      </c>
      <c r="R12" s="25">
        <v>20.249007936507937</v>
      </c>
    </row>
    <row r="13" spans="1:18">
      <c r="A13" s="20" t="s">
        <v>31</v>
      </c>
      <c r="B13" s="20" t="s">
        <v>32</v>
      </c>
      <c r="C13" s="21">
        <v>67583.763836562357</v>
      </c>
      <c r="D13" s="21">
        <v>60555.05239755987</v>
      </c>
      <c r="E13" s="21">
        <v>7028.7114390024844</v>
      </c>
      <c r="F13" s="21">
        <v>76611</v>
      </c>
      <c r="G13" s="21">
        <v>83639.71143900248</v>
      </c>
      <c r="H13" s="22">
        <v>0.91596442266388689</v>
      </c>
      <c r="I13" s="22">
        <v>3.0378863465343776E-2</v>
      </c>
      <c r="J13" s="23">
        <v>2883.5739236933273</v>
      </c>
      <c r="K13" s="23">
        <v>334.70054471440403</v>
      </c>
      <c r="L13" s="23">
        <v>3877.9758571428601</v>
      </c>
      <c r="M13" s="23">
        <v>3982.8434018572616</v>
      </c>
      <c r="N13" s="22">
        <v>0.89600000000000002</v>
      </c>
      <c r="O13" s="22">
        <v>0.104</v>
      </c>
      <c r="P13" s="24">
        <v>21.200595238095239</v>
      </c>
      <c r="Q13" s="24">
        <v>47</v>
      </c>
      <c r="R13" s="25">
        <v>25.799404761904761</v>
      </c>
    </row>
    <row r="14" spans="1:18">
      <c r="A14" s="20" t="s">
        <v>28</v>
      </c>
      <c r="B14" s="20" t="s">
        <v>33</v>
      </c>
      <c r="C14" s="21">
        <v>66629.427699952183</v>
      </c>
      <c r="D14" s="21">
        <v>59699.967219157159</v>
      </c>
      <c r="E14" s="21">
        <v>6929.4604807950263</v>
      </c>
      <c r="F14" s="21">
        <v>112401</v>
      </c>
      <c r="G14" s="21">
        <v>119330.46048079502</v>
      </c>
      <c r="H14" s="22">
        <v>0.94193049743648438</v>
      </c>
      <c r="I14" s="22">
        <v>2.9949889913881998E-2</v>
      </c>
      <c r="J14" s="23">
        <v>2842.8555818646264</v>
      </c>
      <c r="K14" s="23">
        <v>329.97430860928699</v>
      </c>
      <c r="L14" s="23">
        <v>5689.6315714285702</v>
      </c>
      <c r="M14" s="23">
        <v>5682.4028800378583</v>
      </c>
      <c r="N14" s="22">
        <v>0.89600000000000002</v>
      </c>
      <c r="O14" s="22">
        <v>0.104</v>
      </c>
      <c r="P14" s="24">
        <v>32.301785714285714</v>
      </c>
      <c r="Q14" s="24">
        <v>51</v>
      </c>
      <c r="R14" s="25">
        <v>18.698214285714286</v>
      </c>
    </row>
    <row r="15" spans="1:18">
      <c r="A15" s="20" t="s">
        <v>31</v>
      </c>
      <c r="B15" s="20" t="s">
        <v>34</v>
      </c>
      <c r="C15" s="21">
        <v>62809.933747798401</v>
      </c>
      <c r="D15" s="21">
        <v>56277.700638027367</v>
      </c>
      <c r="E15" s="21">
        <v>6532.233109771033</v>
      </c>
      <c r="F15" s="21">
        <v>72596</v>
      </c>
      <c r="G15" s="21">
        <v>79128.233109771027</v>
      </c>
      <c r="H15" s="22">
        <v>0.91744750447404588</v>
      </c>
      <c r="I15" s="22">
        <v>2.8233029551387456E-2</v>
      </c>
      <c r="J15" s="23">
        <v>2679.8905065727317</v>
      </c>
      <c r="K15" s="23">
        <v>311.05871951290635</v>
      </c>
      <c r="L15" s="23">
        <v>3674.7403809523798</v>
      </c>
      <c r="M15" s="23">
        <v>3768.0111004652872</v>
      </c>
      <c r="N15" s="22">
        <v>0.89600000000000002</v>
      </c>
      <c r="O15" s="22">
        <v>0.104</v>
      </c>
      <c r="P15" s="24">
        <v>15.403968253968253</v>
      </c>
      <c r="Q15" s="24">
        <v>34</v>
      </c>
      <c r="R15" s="25">
        <v>18.596031746031748</v>
      </c>
    </row>
    <row r="16" spans="1:18">
      <c r="A16" s="20" t="s">
        <v>35</v>
      </c>
      <c r="B16" s="20" t="s">
        <v>36</v>
      </c>
      <c r="C16" s="21">
        <v>62348.886222341454</v>
      </c>
      <c r="D16" s="21">
        <v>55864.602055217947</v>
      </c>
      <c r="E16" s="21">
        <v>6484.284167123511</v>
      </c>
      <c r="F16" s="21">
        <v>37406</v>
      </c>
      <c r="G16" s="21">
        <v>43890.284167123507</v>
      </c>
      <c r="H16" s="22">
        <v>0.85226151322162935</v>
      </c>
      <c r="I16" s="22">
        <v>2.8025788950512338E-2</v>
      </c>
      <c r="J16" s="23">
        <v>2660.2191454865688</v>
      </c>
      <c r="K16" s="23">
        <v>308.77543652969098</v>
      </c>
      <c r="L16" s="23">
        <v>1893.4560952381</v>
      </c>
      <c r="M16" s="23">
        <v>2090.0135317677859</v>
      </c>
      <c r="N16" s="22">
        <v>0.89600000000000002</v>
      </c>
      <c r="O16" s="22">
        <v>0.104</v>
      </c>
      <c r="P16" s="24">
        <v>18.421825396825398</v>
      </c>
      <c r="Q16" s="24">
        <v>33</v>
      </c>
      <c r="R16" s="25">
        <v>14.578174603174602</v>
      </c>
    </row>
    <row r="17" spans="1:18">
      <c r="A17" s="20" t="s">
        <v>31</v>
      </c>
      <c r="B17" s="20" t="s">
        <v>37</v>
      </c>
      <c r="C17" s="21">
        <v>58779.798035762193</v>
      </c>
      <c r="D17" s="21">
        <v>52666.699040042928</v>
      </c>
      <c r="E17" s="21">
        <v>6113.0989957192678</v>
      </c>
      <c r="F17" s="21">
        <v>25347</v>
      </c>
      <c r="G17" s="21">
        <v>31460.098995719269</v>
      </c>
      <c r="H17" s="22">
        <v>0.80568722951090943</v>
      </c>
      <c r="I17" s="22">
        <v>2.6421485837444143E-2</v>
      </c>
      <c r="J17" s="23">
        <v>2507.9380495258538</v>
      </c>
      <c r="K17" s="23">
        <v>291.09995217710798</v>
      </c>
      <c r="L17" s="23">
        <v>1283.0409999999999</v>
      </c>
      <c r="M17" s="23">
        <v>1498.099952177108</v>
      </c>
      <c r="N17" s="22">
        <v>0.89600000000000002</v>
      </c>
      <c r="O17" s="22">
        <v>0.104</v>
      </c>
      <c r="P17" s="24">
        <v>10</v>
      </c>
      <c r="Q17" s="24">
        <v>9</v>
      </c>
      <c r="R17" s="25">
        <v>-1</v>
      </c>
    </row>
    <row r="18" spans="1:18">
      <c r="A18" s="20" t="s">
        <v>28</v>
      </c>
      <c r="B18" s="20" t="s">
        <v>38</v>
      </c>
      <c r="C18" s="21">
        <v>56666.932219798677</v>
      </c>
      <c r="D18" s="21">
        <v>50773.571268939617</v>
      </c>
      <c r="E18" s="21">
        <v>5893.3609508590625</v>
      </c>
      <c r="F18" s="21">
        <v>89889</v>
      </c>
      <c r="G18" s="21">
        <v>95782.36095085906</v>
      </c>
      <c r="H18" s="22">
        <v>0.93847133342346156</v>
      </c>
      <c r="I18" s="22">
        <v>2.5471753853014131E-2</v>
      </c>
      <c r="J18" s="23">
        <v>2417.7891080447434</v>
      </c>
      <c r="K18" s="23">
        <v>280.63623575519347</v>
      </c>
      <c r="L18" s="23">
        <v>4550.0955714285701</v>
      </c>
      <c r="M18" s="23">
        <v>4561.064807183765</v>
      </c>
      <c r="N18" s="22">
        <v>0.89600000000000002</v>
      </c>
      <c r="O18" s="22">
        <v>0.104</v>
      </c>
      <c r="P18" s="24">
        <v>27.835119047619049</v>
      </c>
      <c r="Q18" s="24">
        <v>68</v>
      </c>
      <c r="R18" s="25">
        <v>40.164880952380955</v>
      </c>
    </row>
    <row r="19" spans="1:18">
      <c r="A19" s="20" t="s">
        <v>31</v>
      </c>
      <c r="B19" s="20" t="s">
        <v>39</v>
      </c>
      <c r="C19" s="21">
        <v>53291.290547397155</v>
      </c>
      <c r="D19" s="21">
        <v>47748.996330467853</v>
      </c>
      <c r="E19" s="21">
        <v>5542.2942169293037</v>
      </c>
      <c r="F19" s="21">
        <v>77201</v>
      </c>
      <c r="G19" s="21">
        <v>82743.294216929309</v>
      </c>
      <c r="H19" s="22">
        <v>0.93301820686037718</v>
      </c>
      <c r="I19" s="22">
        <v>2.3954404838215211E-2</v>
      </c>
      <c r="J19" s="23">
        <v>2273.7617300222787</v>
      </c>
      <c r="K19" s="23">
        <v>263.91877223472875</v>
      </c>
      <c r="L19" s="23">
        <v>3907.8410952381</v>
      </c>
      <c r="M19" s="23">
        <v>3940.1568674728242</v>
      </c>
      <c r="N19" s="22">
        <v>0.89600000000000002</v>
      </c>
      <c r="O19" s="22">
        <v>0.104</v>
      </c>
      <c r="P19" s="24">
        <v>27</v>
      </c>
      <c r="Q19" s="24">
        <v>16</v>
      </c>
      <c r="R19" s="25">
        <v>-11</v>
      </c>
    </row>
    <row r="20" spans="1:18">
      <c r="A20" s="20" t="s">
        <v>28</v>
      </c>
      <c r="B20" s="20" t="s">
        <v>40</v>
      </c>
      <c r="C20" s="21">
        <v>42956.947878879779</v>
      </c>
      <c r="D20" s="21">
        <v>38489.425299476279</v>
      </c>
      <c r="E20" s="21">
        <v>4467.5225794034968</v>
      </c>
      <c r="F20" s="21">
        <v>80469</v>
      </c>
      <c r="G20" s="21">
        <v>84936.522579403492</v>
      </c>
      <c r="H20" s="22">
        <v>0.94740163072691141</v>
      </c>
      <c r="I20" s="22">
        <v>1.9309123677340841E-2</v>
      </c>
      <c r="J20" s="23">
        <v>1832.8297761655372</v>
      </c>
      <c r="K20" s="23">
        <v>212.73917044778557</v>
      </c>
      <c r="L20" s="23">
        <v>4073.2641428571401</v>
      </c>
      <c r="M20" s="23">
        <v>4044.5963133049281</v>
      </c>
      <c r="N20" s="22">
        <v>0.89600000000000002</v>
      </c>
      <c r="O20" s="22">
        <v>0.104</v>
      </c>
      <c r="P20" s="24">
        <v>25.966071428571428</v>
      </c>
      <c r="Q20" s="24">
        <v>36</v>
      </c>
      <c r="R20" s="25">
        <v>10.033928571428572</v>
      </c>
    </row>
    <row r="21" spans="1:18">
      <c r="A21" s="20" t="s">
        <v>31</v>
      </c>
      <c r="B21" s="20" t="s">
        <v>41</v>
      </c>
      <c r="C21" s="21">
        <v>33076.129815823544</v>
      </c>
      <c r="D21" s="21">
        <v>29636.212314977896</v>
      </c>
      <c r="E21" s="21">
        <v>3439.9175008456486</v>
      </c>
      <c r="F21" s="21">
        <v>78501</v>
      </c>
      <c r="G21" s="21">
        <v>81940.917500845651</v>
      </c>
      <c r="H21" s="22">
        <v>0.95801953888531755</v>
      </c>
      <c r="I21" s="22">
        <v>1.4867701569075555E-2</v>
      </c>
      <c r="J21" s="23">
        <v>1411.2482054751379</v>
      </c>
      <c r="K21" s="23">
        <v>163.80559527836422</v>
      </c>
      <c r="L21" s="23">
        <v>3973.6458571428602</v>
      </c>
      <c r="M21" s="23">
        <v>3901.9484524212216</v>
      </c>
      <c r="N21" s="22">
        <v>0.89600000000000002</v>
      </c>
      <c r="O21" s="22">
        <v>0.104</v>
      </c>
      <c r="P21" s="24">
        <v>25.575595238095239</v>
      </c>
      <c r="Q21" s="24">
        <v>26</v>
      </c>
      <c r="R21" s="25">
        <v>0.42440476190476062</v>
      </c>
    </row>
    <row r="22" spans="1:18">
      <c r="A22" s="20" t="s">
        <v>35</v>
      </c>
      <c r="B22" s="20" t="s">
        <v>42</v>
      </c>
      <c r="C22" s="21">
        <v>30497.917662976917</v>
      </c>
      <c r="D22" s="21">
        <v>27326.13422602732</v>
      </c>
      <c r="E22" s="21">
        <v>3171.783436949599</v>
      </c>
      <c r="F22" s="21">
        <v>65097</v>
      </c>
      <c r="G22" s="21">
        <v>68268.783436949598</v>
      </c>
      <c r="H22" s="22">
        <v>0.95353976917021033</v>
      </c>
      <c r="I22" s="22">
        <v>1.3708796670475552E-2</v>
      </c>
      <c r="J22" s="23">
        <v>1301.2444869536819</v>
      </c>
      <c r="K22" s="23">
        <v>151.03730652140948</v>
      </c>
      <c r="L22" s="23">
        <v>3295.1481428571401</v>
      </c>
      <c r="M22" s="23">
        <v>3250.8944493785521</v>
      </c>
      <c r="N22" s="22">
        <v>0.89600000000000002</v>
      </c>
      <c r="O22" s="22">
        <v>0.104</v>
      </c>
      <c r="P22" s="24">
        <v>23.916071428571428</v>
      </c>
      <c r="Q22" s="24">
        <v>44</v>
      </c>
      <c r="R22" s="25">
        <v>20.083928571428572</v>
      </c>
    </row>
    <row r="23" spans="1:18">
      <c r="A23" s="20" t="s">
        <v>28</v>
      </c>
      <c r="B23" s="20" t="s">
        <v>43</v>
      </c>
      <c r="C23" s="21">
        <v>33327.610284254602</v>
      </c>
      <c r="D23" s="21">
        <v>29861.538814692125</v>
      </c>
      <c r="E23" s="21">
        <v>3466.0714695624783</v>
      </c>
      <c r="F23" s="21">
        <v>30578</v>
      </c>
      <c r="G23" s="21">
        <v>34044.071469562477</v>
      </c>
      <c r="H23" s="22">
        <v>0.89818869130675627</v>
      </c>
      <c r="I23" s="22">
        <v>1.4980741896825616E-2</v>
      </c>
      <c r="J23" s="23">
        <v>1421.9780387948631</v>
      </c>
      <c r="K23" s="23">
        <v>165.05102236011803</v>
      </c>
      <c r="L23" s="23">
        <v>1547.82923809524</v>
      </c>
      <c r="M23" s="23">
        <v>1621.146260455356</v>
      </c>
      <c r="N23" s="22">
        <v>0.89600000000000002</v>
      </c>
      <c r="O23" s="22">
        <v>0.104</v>
      </c>
      <c r="P23" s="24">
        <v>14.067063492063493</v>
      </c>
      <c r="Q23" s="24">
        <v>23</v>
      </c>
      <c r="R23" s="25">
        <v>8.9329365079365068</v>
      </c>
    </row>
    <row r="24" spans="1:18">
      <c r="A24" s="20" t="s">
        <v>44</v>
      </c>
      <c r="B24" s="20" t="s">
        <v>45</v>
      </c>
      <c r="C24" s="21">
        <v>27989.561195805582</v>
      </c>
      <c r="D24" s="21">
        <v>25078.646831441802</v>
      </c>
      <c r="E24" s="21">
        <v>2910.9143643637804</v>
      </c>
      <c r="F24" s="21">
        <v>150285</v>
      </c>
      <c r="G24" s="21">
        <v>153195.91436436379</v>
      </c>
      <c r="H24" s="22">
        <v>0.9809987467587391</v>
      </c>
      <c r="I24" s="22">
        <v>1.2581291862917234E-2</v>
      </c>
      <c r="J24" s="23">
        <v>1194.2212776877047</v>
      </c>
      <c r="K24" s="23">
        <v>138.6149697316086</v>
      </c>
      <c r="L24" s="23">
        <v>7607.2835714285702</v>
      </c>
      <c r="M24" s="23">
        <v>7295.0435411601802</v>
      </c>
      <c r="N24" s="22">
        <v>0.89600000000000002</v>
      </c>
      <c r="O24" s="22">
        <v>0.104</v>
      </c>
      <c r="P24" s="24">
        <v>36.81845238095238</v>
      </c>
      <c r="Q24" s="24">
        <v>39</v>
      </c>
      <c r="R24" s="25">
        <v>2.1815476190476204</v>
      </c>
    </row>
    <row r="25" spans="1:18">
      <c r="A25" s="20" t="s">
        <v>28</v>
      </c>
      <c r="B25" s="20" t="s">
        <v>46</v>
      </c>
      <c r="C25" s="21">
        <v>23650.985763941539</v>
      </c>
      <c r="D25" s="21">
        <v>21191.28324449162</v>
      </c>
      <c r="E25" s="21">
        <v>2459.7025194499197</v>
      </c>
      <c r="F25" s="21">
        <v>32199</v>
      </c>
      <c r="G25" s="21">
        <v>34658.702519449922</v>
      </c>
      <c r="H25" s="22">
        <v>0.92903073858377772</v>
      </c>
      <c r="I25" s="22">
        <v>1.0631104670066793E-2</v>
      </c>
      <c r="J25" s="23">
        <v>1009.1087259281724</v>
      </c>
      <c r="K25" s="23">
        <v>117.12869140237713</v>
      </c>
      <c r="L25" s="23">
        <v>1629.8827142857101</v>
      </c>
      <c r="M25" s="23">
        <v>1650.4144056880914</v>
      </c>
      <c r="N25" s="22">
        <v>0.89600000000000002</v>
      </c>
      <c r="O25" s="22">
        <v>0.104</v>
      </c>
      <c r="P25" s="24">
        <v>8.3886904761904759</v>
      </c>
      <c r="Q25" s="24">
        <v>6</v>
      </c>
      <c r="R25" s="25">
        <v>-2.3886904761904759</v>
      </c>
    </row>
    <row r="26" spans="1:18">
      <c r="A26" s="20" t="s">
        <v>35</v>
      </c>
      <c r="B26" s="20" t="s">
        <v>47</v>
      </c>
      <c r="C26" s="21">
        <v>19146.906092169877</v>
      </c>
      <c r="D26" s="21">
        <v>17155.627858584208</v>
      </c>
      <c r="E26" s="21">
        <v>1991.2782335856671</v>
      </c>
      <c r="F26" s="21">
        <v>42770</v>
      </c>
      <c r="G26" s="21">
        <v>44761.278233585668</v>
      </c>
      <c r="H26" s="22">
        <v>0.95551337423399241</v>
      </c>
      <c r="I26" s="22">
        <v>8.6065234153637482E-3</v>
      </c>
      <c r="J26" s="23">
        <v>816.93465993258133</v>
      </c>
      <c r="K26" s="23">
        <v>94.822773027888914</v>
      </c>
      <c r="L26" s="23">
        <v>2164.9766666666701</v>
      </c>
      <c r="M26" s="23">
        <v>2131.4894396945556</v>
      </c>
      <c r="N26" s="22">
        <v>0.89600000000000002</v>
      </c>
      <c r="O26" s="22">
        <v>0.104</v>
      </c>
      <c r="P26" s="24">
        <v>15.486111111111111</v>
      </c>
      <c r="Q26" s="24">
        <v>36</v>
      </c>
      <c r="R26" s="25">
        <v>20.513888888888889</v>
      </c>
    </row>
    <row r="27" spans="1:18">
      <c r="A27" s="20" t="s">
        <v>28</v>
      </c>
      <c r="B27" s="20" t="s">
        <v>48</v>
      </c>
      <c r="C27" s="21">
        <v>18586.98590391098</v>
      </c>
      <c r="D27" s="21">
        <v>16653.939369904238</v>
      </c>
      <c r="E27" s="21">
        <v>1933.0465340067417</v>
      </c>
      <c r="F27" s="21">
        <v>53295</v>
      </c>
      <c r="G27" s="21">
        <v>55228.046534006739</v>
      </c>
      <c r="H27" s="22">
        <v>0.96499882477616761</v>
      </c>
      <c r="I27" s="22">
        <v>8.3548396087065567E-3</v>
      </c>
      <c r="J27" s="23">
        <v>793.04473190020178</v>
      </c>
      <c r="K27" s="23">
        <v>92.049834952701985</v>
      </c>
      <c r="L27" s="23">
        <v>2697.7421428571402</v>
      </c>
      <c r="M27" s="23">
        <v>2629.9069778098446</v>
      </c>
      <c r="N27" s="22">
        <v>0.89600000000000002</v>
      </c>
      <c r="O27" s="22">
        <v>0.104</v>
      </c>
      <c r="P27" s="24">
        <v>17.574404761904759</v>
      </c>
      <c r="Q27" s="24">
        <v>22</v>
      </c>
      <c r="R27" s="25">
        <v>4.4255952380952408</v>
      </c>
    </row>
    <row r="28" spans="1:18">
      <c r="A28" s="20" t="s">
        <v>35</v>
      </c>
      <c r="B28" s="20" t="s">
        <v>49</v>
      </c>
      <c r="C28" s="21">
        <v>11557.354519263294</v>
      </c>
      <c r="D28" s="21">
        <v>10355.389649259911</v>
      </c>
      <c r="E28" s="21">
        <v>1201.9648700033824</v>
      </c>
      <c r="F28" s="21">
        <v>23711</v>
      </c>
      <c r="G28" s="21">
        <v>24912.964870003383</v>
      </c>
      <c r="H28" s="22">
        <v>0.95175343937282164</v>
      </c>
      <c r="I28" s="22">
        <v>5.195024293265702E-3</v>
      </c>
      <c r="J28" s="23">
        <v>493.11379282190052</v>
      </c>
      <c r="K28" s="23">
        <v>57.236422381113449</v>
      </c>
      <c r="L28" s="23">
        <v>1200.2282380952399</v>
      </c>
      <c r="M28" s="23">
        <v>1186.3316604763515</v>
      </c>
      <c r="N28" s="22">
        <v>0.89600000000000002</v>
      </c>
      <c r="O28" s="22">
        <v>0.104</v>
      </c>
      <c r="P28" s="24">
        <v>11.704563492063492</v>
      </c>
      <c r="Q28" s="24">
        <v>21</v>
      </c>
      <c r="R28" s="25">
        <v>9.2954365079365076</v>
      </c>
    </row>
    <row r="29" spans="1:18">
      <c r="A29" s="20" t="s">
        <v>35</v>
      </c>
      <c r="B29" s="20" t="s">
        <v>50</v>
      </c>
      <c r="C29" s="21">
        <v>9367.1100976286853</v>
      </c>
      <c r="D29" s="21">
        <v>8392.930647475303</v>
      </c>
      <c r="E29" s="21">
        <v>974.17945015338319</v>
      </c>
      <c r="F29" s="21">
        <v>25751</v>
      </c>
      <c r="G29" s="21">
        <v>26725.179450153384</v>
      </c>
      <c r="H29" s="22">
        <v>0.96354825411105727</v>
      </c>
      <c r="I29" s="22">
        <v>4.2105106695279771E-3</v>
      </c>
      <c r="J29" s="23">
        <v>399.66336416549063</v>
      </c>
      <c r="K29" s="23">
        <v>46.389497626351577</v>
      </c>
      <c r="L29" s="23">
        <v>1303.4910952380999</v>
      </c>
      <c r="M29" s="23">
        <v>1272.6275928644468</v>
      </c>
      <c r="N29" s="22">
        <v>0.89600000000000002</v>
      </c>
      <c r="O29" s="22">
        <v>0.104</v>
      </c>
      <c r="P29" s="24">
        <v>12.109325396825398</v>
      </c>
      <c r="Q29" s="24">
        <v>18</v>
      </c>
      <c r="R29" s="25">
        <v>5.8906746031746025</v>
      </c>
    </row>
    <row r="30" spans="1:18">
      <c r="A30" s="20" t="s">
        <v>35</v>
      </c>
      <c r="B30" s="20" t="s">
        <v>51</v>
      </c>
      <c r="C30" s="21">
        <v>8853.4021322011358</v>
      </c>
      <c r="D30" s="21">
        <v>7932.6483104522176</v>
      </c>
      <c r="E30" s="21">
        <v>920.75382174891809</v>
      </c>
      <c r="F30" s="21">
        <v>21916</v>
      </c>
      <c r="G30" s="21">
        <v>22836.753821748916</v>
      </c>
      <c r="H30" s="22">
        <v>0.95968105498111456</v>
      </c>
      <c r="I30" s="22">
        <v>3.979599230790669E-3</v>
      </c>
      <c r="J30" s="23">
        <v>377.74515764058179</v>
      </c>
      <c r="K30" s="23">
        <v>43.845420083281816</v>
      </c>
      <c r="L30" s="23">
        <v>1109.36704761905</v>
      </c>
      <c r="M30" s="23">
        <v>1087.4644677023296</v>
      </c>
      <c r="N30" s="22">
        <v>0.89600000000000002</v>
      </c>
      <c r="O30" s="22">
        <v>0.104</v>
      </c>
      <c r="P30" s="24">
        <v>11.348412698412698</v>
      </c>
      <c r="Q30" s="24">
        <v>16</v>
      </c>
      <c r="R30" s="25">
        <v>4.6515873015873019</v>
      </c>
    </row>
    <row r="31" spans="1:18">
      <c r="A31" s="20" t="s">
        <v>44</v>
      </c>
      <c r="B31" s="20" t="s">
        <v>52</v>
      </c>
      <c r="C31" s="21">
        <v>7601.3733043285547</v>
      </c>
      <c r="D31" s="21">
        <v>6810.8304806783854</v>
      </c>
      <c r="E31" s="21">
        <v>790.54282365016968</v>
      </c>
      <c r="F31" s="21">
        <v>23249</v>
      </c>
      <c r="G31" s="21">
        <v>24039.542823650168</v>
      </c>
      <c r="H31" s="22">
        <v>0.96711489775619064</v>
      </c>
      <c r="I31" s="22">
        <v>3.4168129836589464E-3</v>
      </c>
      <c r="J31" s="23">
        <v>324.32526098468503</v>
      </c>
      <c r="K31" s="23">
        <v>37.644896364293793</v>
      </c>
      <c r="L31" s="23">
        <v>1176.84223809524</v>
      </c>
      <c r="M31" s="23">
        <v>1144.7401344595319</v>
      </c>
      <c r="N31" s="22">
        <v>0.89600000000000002</v>
      </c>
      <c r="O31" s="22">
        <v>0.104</v>
      </c>
      <c r="P31" s="24">
        <v>11.612896825396826</v>
      </c>
      <c r="Q31" s="24">
        <v>11</v>
      </c>
      <c r="R31" s="25">
        <v>-0.61289682539682566</v>
      </c>
    </row>
    <row r="32" spans="1:18">
      <c r="A32" s="20" t="s">
        <v>35</v>
      </c>
      <c r="B32" s="20" t="s">
        <v>53</v>
      </c>
      <c r="C32" s="21">
        <v>7617.4938471767</v>
      </c>
      <c r="D32" s="21">
        <v>6825.2744870703236</v>
      </c>
      <c r="E32" s="21">
        <v>792.21936010637671</v>
      </c>
      <c r="F32" s="21">
        <v>31756</v>
      </c>
      <c r="G32" s="21">
        <v>32548.219360106377</v>
      </c>
      <c r="H32" s="22">
        <v>0.97566013208460234</v>
      </c>
      <c r="I32" s="22">
        <v>3.4240591585147197E-3</v>
      </c>
      <c r="J32" s="23">
        <v>325.01307081287257</v>
      </c>
      <c r="K32" s="23">
        <v>37.72473143363699</v>
      </c>
      <c r="L32" s="23">
        <v>1607.45847619048</v>
      </c>
      <c r="M32" s="23">
        <v>1549.9152076241132</v>
      </c>
      <c r="N32" s="22">
        <v>0.89600000000000002</v>
      </c>
      <c r="O32" s="22">
        <v>0.104</v>
      </c>
      <c r="P32" s="24">
        <v>13.300793650793651</v>
      </c>
      <c r="Q32" s="24">
        <v>21</v>
      </c>
      <c r="R32" s="25">
        <v>7.6992063492063494</v>
      </c>
    </row>
    <row r="33" spans="1:18">
      <c r="A33" s="20" t="s">
        <v>28</v>
      </c>
      <c r="B33" s="20" t="s">
        <v>54</v>
      </c>
      <c r="C33" s="21">
        <v>7850.7043670465282</v>
      </c>
      <c r="D33" s="21">
        <v>7034.2311128736892</v>
      </c>
      <c r="E33" s="21">
        <v>816.47325417283889</v>
      </c>
      <c r="F33" s="21">
        <v>31253</v>
      </c>
      <c r="G33" s="21">
        <v>32069.473254172837</v>
      </c>
      <c r="H33" s="22">
        <v>0.9745404844132699</v>
      </c>
      <c r="I33" s="22">
        <v>3.5288871547615726E-3</v>
      </c>
      <c r="J33" s="23">
        <v>334.96338632731852</v>
      </c>
      <c r="K33" s="23">
        <v>38.879678770135186</v>
      </c>
      <c r="L33" s="23">
        <v>1581.9970952381</v>
      </c>
      <c r="M33" s="23">
        <v>1527.1177740082303</v>
      </c>
      <c r="N33" s="22">
        <v>0.89600000000000002</v>
      </c>
      <c r="O33" s="22">
        <v>0.104</v>
      </c>
      <c r="P33" s="24">
        <v>9.2009920634920626</v>
      </c>
      <c r="Q33" s="24">
        <v>13</v>
      </c>
      <c r="R33" s="25">
        <v>3.7990079365079374</v>
      </c>
    </row>
    <row r="34" spans="1:18">
      <c r="A34" s="20" t="s">
        <v>31</v>
      </c>
      <c r="B34" s="20" t="s">
        <v>55</v>
      </c>
      <c r="C34" s="21">
        <v>8972.6941492774076</v>
      </c>
      <c r="D34" s="21">
        <v>8039.5339577525574</v>
      </c>
      <c r="E34" s="21">
        <v>933.16019152485035</v>
      </c>
      <c r="F34" s="21">
        <v>22625</v>
      </c>
      <c r="G34" s="21">
        <v>23558.16019152485</v>
      </c>
      <c r="H34" s="22">
        <v>0.96038908879393059</v>
      </c>
      <c r="I34" s="22">
        <v>4.0332209247233913E-3</v>
      </c>
      <c r="J34" s="23">
        <v>382.83495036916941</v>
      </c>
      <c r="K34" s="23">
        <v>44.436199596421446</v>
      </c>
      <c r="L34" s="23">
        <v>1145.25595238095</v>
      </c>
      <c r="M34" s="23">
        <v>1121.8171519773737</v>
      </c>
      <c r="N34" s="22">
        <v>0.89600000000000002</v>
      </c>
      <c r="O34" s="22">
        <v>0.104</v>
      </c>
      <c r="P34" s="24">
        <v>9.4890873015873005</v>
      </c>
      <c r="Q34" s="24">
        <v>9</v>
      </c>
      <c r="R34" s="25">
        <v>-0.48908730158730052</v>
      </c>
    </row>
    <row r="35" spans="1:18">
      <c r="A35" s="20" t="s">
        <v>44</v>
      </c>
      <c r="B35" s="20" t="s">
        <v>56</v>
      </c>
      <c r="C35" s="21">
        <v>7707.7688871263108</v>
      </c>
      <c r="D35" s="21">
        <v>6906.1609228651751</v>
      </c>
      <c r="E35" s="21">
        <v>801.60796426113632</v>
      </c>
      <c r="F35" s="21">
        <v>30539</v>
      </c>
      <c r="G35" s="21">
        <v>31340.607964261137</v>
      </c>
      <c r="H35" s="22">
        <v>0.97442270535481501</v>
      </c>
      <c r="I35" s="22">
        <v>3.46463773770705E-3</v>
      </c>
      <c r="J35" s="23">
        <v>328.86480585072263</v>
      </c>
      <c r="K35" s="23">
        <v>38.171807821958872</v>
      </c>
      <c r="L35" s="23">
        <v>1545.8550952380999</v>
      </c>
      <c r="M35" s="23">
        <v>1492.4099030600541</v>
      </c>
      <c r="N35" s="22">
        <v>0.89600000000000002</v>
      </c>
      <c r="O35" s="22">
        <v>0.104</v>
      </c>
      <c r="P35" s="24">
        <v>12.059325396825397</v>
      </c>
      <c r="Q35" s="24">
        <v>12</v>
      </c>
      <c r="R35" s="25">
        <v>-5.9325396825396837E-2</v>
      </c>
    </row>
    <row r="36" spans="1:18">
      <c r="A36" s="20" t="s">
        <v>44</v>
      </c>
      <c r="B36" s="20" t="s">
        <v>57</v>
      </c>
      <c r="C36" s="21">
        <v>5094.0915400137637</v>
      </c>
      <c r="D36" s="21">
        <v>4564.3060198523326</v>
      </c>
      <c r="E36" s="21">
        <v>529.78552016143135</v>
      </c>
      <c r="F36" s="21">
        <v>40734</v>
      </c>
      <c r="G36" s="21">
        <v>41263.785520161429</v>
      </c>
      <c r="H36" s="22">
        <v>0.98716100538321727</v>
      </c>
      <c r="I36" s="22">
        <v>2.2897912544243468E-3</v>
      </c>
      <c r="J36" s="23">
        <v>217.34790570725394</v>
      </c>
      <c r="K36" s="23">
        <v>25.227881912449114</v>
      </c>
      <c r="L36" s="23">
        <v>2061.9162857142901</v>
      </c>
      <c r="M36" s="23">
        <v>1964.942167626735</v>
      </c>
      <c r="N36" s="22">
        <v>0.89600000000000002</v>
      </c>
      <c r="O36" s="22">
        <v>0.104</v>
      </c>
      <c r="P36" s="24">
        <v>15.082142857142857</v>
      </c>
      <c r="Q36" s="24">
        <v>28</v>
      </c>
      <c r="R36" s="25">
        <v>12.917857142857143</v>
      </c>
    </row>
    <row r="37" spans="1:18">
      <c r="A37" s="20" t="s">
        <v>35</v>
      </c>
      <c r="B37" s="20" t="s">
        <v>58</v>
      </c>
      <c r="C37" s="21">
        <v>4974.7995229374919</v>
      </c>
      <c r="D37" s="21">
        <v>4457.4203725519928</v>
      </c>
      <c r="E37" s="21">
        <v>517.37915038549909</v>
      </c>
      <c r="F37" s="21">
        <v>13351</v>
      </c>
      <c r="G37" s="21">
        <v>13868.379150385499</v>
      </c>
      <c r="H37" s="22">
        <v>0.96269361078355598</v>
      </c>
      <c r="I37" s="22">
        <v>2.2361695604916246E-3</v>
      </c>
      <c r="J37" s="23">
        <v>212.25811297866633</v>
      </c>
      <c r="K37" s="23">
        <v>24.63710239930948</v>
      </c>
      <c r="L37" s="23">
        <v>675.81490476190504</v>
      </c>
      <c r="M37" s="23">
        <v>660.39900716121429</v>
      </c>
      <c r="N37" s="22">
        <v>0.89600000000000002</v>
      </c>
      <c r="O37" s="22">
        <v>0.104</v>
      </c>
      <c r="P37" s="24">
        <v>9.6490079365079371</v>
      </c>
      <c r="Q37" s="24">
        <v>17</v>
      </c>
      <c r="R37" s="25">
        <v>7.3509920634920629</v>
      </c>
    </row>
    <row r="38" spans="1:18">
      <c r="A38" s="20" t="s">
        <v>44</v>
      </c>
      <c r="B38" s="20" t="s">
        <v>59</v>
      </c>
      <c r="C38" s="21">
        <v>2415.9320215086373</v>
      </c>
      <c r="D38" s="21">
        <v>2164.6750912717389</v>
      </c>
      <c r="E38" s="21">
        <v>251.25693023689826</v>
      </c>
      <c r="F38" s="21">
        <v>25381</v>
      </c>
      <c r="G38" s="21">
        <v>25632.256930236897</v>
      </c>
      <c r="H38" s="22">
        <v>0.99019762750815343</v>
      </c>
      <c r="I38" s="22">
        <v>1.085960071718551E-3</v>
      </c>
      <c r="J38" s="23">
        <v>103.07976625103518</v>
      </c>
      <c r="K38" s="23">
        <v>11.964615725566583</v>
      </c>
      <c r="L38" s="23">
        <v>1284.76204761905</v>
      </c>
      <c r="M38" s="23">
        <v>1220.5836633446143</v>
      </c>
      <c r="N38" s="22">
        <v>0.89600000000000002</v>
      </c>
      <c r="O38" s="22">
        <v>0.104</v>
      </c>
      <c r="P38" s="24">
        <v>12.035912698412698</v>
      </c>
      <c r="Q38" s="24">
        <v>15</v>
      </c>
      <c r="R38" s="25">
        <v>2.9640873015873019</v>
      </c>
    </row>
    <row r="39" spans="1:18">
      <c r="A39" s="20" t="s">
        <v>35</v>
      </c>
      <c r="B39" s="20" t="s">
        <v>60</v>
      </c>
      <c r="C39" s="21">
        <v>1567.9914676962196</v>
      </c>
      <c r="D39" s="21">
        <v>1404.9203550558127</v>
      </c>
      <c r="E39" s="21">
        <v>163.07111264040682</v>
      </c>
      <c r="F39" s="21">
        <v>16315</v>
      </c>
      <c r="G39" s="21">
        <v>16478.071112640406</v>
      </c>
      <c r="H39" s="22">
        <v>0.99010374991552785</v>
      </c>
      <c r="I39" s="22">
        <v>7.0481127430487803E-4</v>
      </c>
      <c r="J39" s="23">
        <v>66.900969288372039</v>
      </c>
      <c r="K39" s="23">
        <v>7.7652910781146103</v>
      </c>
      <c r="L39" s="23">
        <v>825.84976190476198</v>
      </c>
      <c r="M39" s="23">
        <v>784.67005298287654</v>
      </c>
      <c r="N39" s="22">
        <v>0.89600000000000002</v>
      </c>
      <c r="O39" s="22">
        <v>0.104</v>
      </c>
      <c r="P39" s="24">
        <v>8.237103174603174</v>
      </c>
      <c r="Q39" s="24">
        <v>6</v>
      </c>
      <c r="R39" s="25">
        <v>-2.237103174603174</v>
      </c>
    </row>
    <row r="40" spans="1:18">
      <c r="A40" s="20" t="s">
        <v>44</v>
      </c>
      <c r="B40" s="20" t="s">
        <v>61</v>
      </c>
      <c r="C40" s="21">
        <v>396.56535406436262</v>
      </c>
      <c r="D40" s="21">
        <v>355.3225572416689</v>
      </c>
      <c r="E40" s="21">
        <v>41.242796822693712</v>
      </c>
      <c r="F40" s="21">
        <v>16139</v>
      </c>
      <c r="G40" s="21">
        <v>16180.242796822693</v>
      </c>
      <c r="H40" s="22">
        <v>0.99745103968212445</v>
      </c>
      <c r="I40" s="22">
        <v>1.7825590145202196E-4</v>
      </c>
      <c r="J40" s="23">
        <v>16.920121773412806</v>
      </c>
      <c r="K40" s="23">
        <v>1.9639427058425578</v>
      </c>
      <c r="L40" s="23">
        <v>816.94080952380898</v>
      </c>
      <c r="M40" s="23">
        <v>770.48775222965207</v>
      </c>
      <c r="N40" s="22">
        <v>0.89600000000000002</v>
      </c>
      <c r="O40" s="22">
        <v>0.104</v>
      </c>
      <c r="P40" s="24">
        <v>5.2021825396825392</v>
      </c>
      <c r="Q40" s="24">
        <v>3</v>
      </c>
      <c r="R40" s="25">
        <v>-2.2021825396825392</v>
      </c>
    </row>
    <row r="41" spans="1:18">
      <c r="A41" s="20" t="s">
        <v>62</v>
      </c>
      <c r="B41" s="20" t="s">
        <v>63</v>
      </c>
      <c r="C41" s="21">
        <v>453340.83127267216</v>
      </c>
      <c r="D41" s="21">
        <v>406193.38482031424</v>
      </c>
      <c r="E41" s="21">
        <v>47147.446452357901</v>
      </c>
      <c r="F41" s="21">
        <v>83976</v>
      </c>
      <c r="G41" s="21">
        <v>131123.44645235789</v>
      </c>
      <c r="H41" s="22">
        <v>0.64043466116879144</v>
      </c>
      <c r="I41" s="22">
        <v>0.20377644621573163</v>
      </c>
      <c r="J41" s="23">
        <v>19342.542134300678</v>
      </c>
      <c r="K41" s="23">
        <v>2245.1164977313288</v>
      </c>
      <c r="L41" s="23">
        <v>4250.7851428571403</v>
      </c>
      <c r="M41" s="23">
        <v>6243.9736405884714</v>
      </c>
      <c r="N41" s="22">
        <v>0.89600000000000002</v>
      </c>
      <c r="O41" s="22">
        <v>0.104</v>
      </c>
      <c r="P41" s="24">
        <v>33.579166666666666</v>
      </c>
      <c r="Q41" s="24">
        <v>44</v>
      </c>
      <c r="R41" s="25">
        <v>10.420833333333334</v>
      </c>
    </row>
    <row r="42" spans="1:18">
      <c r="A42" s="20" t="s">
        <v>62</v>
      </c>
      <c r="B42" s="20" t="s">
        <v>64</v>
      </c>
      <c r="C42" s="21">
        <v>144211.15221093394</v>
      </c>
      <c r="D42" s="21">
        <v>129213.19238099681</v>
      </c>
      <c r="E42" s="21">
        <v>14997.95982993713</v>
      </c>
      <c r="F42" s="21">
        <v>98904</v>
      </c>
      <c r="G42" s="21">
        <v>113901.95982993713</v>
      </c>
      <c r="H42" s="22">
        <v>0.86832570877331672</v>
      </c>
      <c r="I42" s="22">
        <v>6.4822831024776345E-2</v>
      </c>
      <c r="J42" s="23">
        <v>6153.0091609998481</v>
      </c>
      <c r="K42" s="23">
        <v>714.18856333033955</v>
      </c>
      <c r="L42" s="23">
        <v>5006.4262857142803</v>
      </c>
      <c r="M42" s="23">
        <v>5423.9028490446253</v>
      </c>
      <c r="N42" s="22">
        <v>0.89600000000000002</v>
      </c>
      <c r="O42" s="22">
        <v>0.104</v>
      </c>
      <c r="P42" s="24">
        <v>29.170833333333334</v>
      </c>
      <c r="Q42" s="24">
        <v>39</v>
      </c>
      <c r="R42" s="25">
        <f t="shared" ref="R42:R45" si="0">Q42-P42</f>
        <v>9.8291666666666657</v>
      </c>
    </row>
    <row r="43" spans="1:18">
      <c r="A43" s="20" t="s">
        <v>62</v>
      </c>
      <c r="B43" s="20" t="s">
        <v>65</v>
      </c>
      <c r="C43" s="21">
        <v>295079.01391529519</v>
      </c>
      <c r="D43" s="21">
        <v>264390.79646810447</v>
      </c>
      <c r="E43" s="21">
        <v>30688.217447190698</v>
      </c>
      <c r="F43" s="21">
        <v>162113</v>
      </c>
      <c r="G43" s="21">
        <v>192801.21744719069</v>
      </c>
      <c r="H43" s="22">
        <v>0.84082975277064131</v>
      </c>
      <c r="I43" s="22">
        <v>0.13263784918666333</v>
      </c>
      <c r="J43" s="23">
        <v>12590.037927052594</v>
      </c>
      <c r="K43" s="23">
        <v>1461.3436879614619</v>
      </c>
      <c r="L43" s="23">
        <v>8206.0056666666696</v>
      </c>
      <c r="M43" s="23">
        <v>9181.010354628128</v>
      </c>
      <c r="N43" s="22">
        <v>0.89600000000000002</v>
      </c>
      <c r="O43" s="22">
        <v>0.104</v>
      </c>
      <c r="P43" s="24">
        <v>48.783333333333331</v>
      </c>
      <c r="Q43" s="24">
        <v>57</v>
      </c>
      <c r="R43" s="25">
        <f t="shared" si="0"/>
        <v>8.2166666666666686</v>
      </c>
    </row>
    <row r="44" spans="1:18">
      <c r="A44" s="20" t="s">
        <v>62</v>
      </c>
      <c r="B44" s="20" t="s">
        <v>66</v>
      </c>
      <c r="C44" s="21">
        <v>180332.98992220033</v>
      </c>
      <c r="D44" s="21">
        <v>161578.35897029151</v>
      </c>
      <c r="E44" s="21">
        <v>18754.630951908832</v>
      </c>
      <c r="F44" s="21">
        <v>88439</v>
      </c>
      <c r="G44" s="21">
        <v>107193.63095190882</v>
      </c>
      <c r="H44" s="22">
        <v>0.82503968952854234</v>
      </c>
      <c r="I44" s="22">
        <v>8.1059576563269314E-2</v>
      </c>
      <c r="J44" s="23">
        <v>7694.2075700138812</v>
      </c>
      <c r="K44" s="23">
        <v>893.07766437661098</v>
      </c>
      <c r="L44" s="23">
        <v>4476.6979523809496</v>
      </c>
      <c r="M44" s="23">
        <v>5104.4586167575635</v>
      </c>
      <c r="N44" s="22">
        <v>0.89600000000000002</v>
      </c>
      <c r="O44" s="22">
        <v>0.104</v>
      </c>
      <c r="P44" s="24">
        <v>28.783333333333335</v>
      </c>
      <c r="Q44" s="24">
        <v>42</v>
      </c>
      <c r="R44" s="25">
        <f t="shared" si="0"/>
        <v>13.216666666666665</v>
      </c>
    </row>
    <row r="45" spans="1:18">
      <c r="A45" s="20" t="s">
        <v>62</v>
      </c>
      <c r="B45" s="20" t="s">
        <v>67</v>
      </c>
      <c r="C45" s="21">
        <v>168343.60485460676</v>
      </c>
      <c r="D45" s="21">
        <v>150835.86994972767</v>
      </c>
      <c r="E45" s="21">
        <v>17507.734904879104</v>
      </c>
      <c r="F45" s="21">
        <v>133567</v>
      </c>
      <c r="G45" s="21">
        <v>151074.73490487909</v>
      </c>
      <c r="H45" s="22">
        <v>0.88411209249579381</v>
      </c>
      <c r="I45" s="22">
        <v>7.5670354783868909E-2</v>
      </c>
      <c r="J45" s="23">
        <v>7182.6604737965554</v>
      </c>
      <c r="K45" s="23">
        <v>833.70166213710013</v>
      </c>
      <c r="L45" s="23">
        <v>6761.0343333333303</v>
      </c>
      <c r="M45" s="23">
        <v>7194.0349954704334</v>
      </c>
      <c r="N45" s="22">
        <v>0.89600000000000002</v>
      </c>
      <c r="O45" s="22">
        <v>0.104</v>
      </c>
      <c r="P45" s="24">
        <v>37.783333333333331</v>
      </c>
      <c r="Q45" s="24">
        <v>40</v>
      </c>
      <c r="R45" s="25">
        <f t="shared" si="0"/>
        <v>2.2166666666666686</v>
      </c>
    </row>
    <row r="46" spans="1:18" ht="21">
      <c r="A46" s="15" t="s">
        <v>68</v>
      </c>
      <c r="B46" s="15" t="s">
        <v>69</v>
      </c>
      <c r="C46" s="16">
        <v>2211300</v>
      </c>
      <c r="D46" s="16">
        <v>1981324.8</v>
      </c>
      <c r="E46" s="16">
        <v>229975.2</v>
      </c>
      <c r="F46" s="16">
        <v>2173753</v>
      </c>
      <c r="G46" s="16">
        <v>2403728.2000000002</v>
      </c>
      <c r="H46" s="17">
        <v>0.90432562217308921</v>
      </c>
      <c r="I46" s="17">
        <v>1</v>
      </c>
      <c r="J46" s="18">
        <v>94348.800000000003</v>
      </c>
      <c r="K46" s="18">
        <v>10951.2</v>
      </c>
      <c r="L46" s="18">
        <v>110033.306619048</v>
      </c>
      <c r="M46" s="18">
        <v>114463.24761904762</v>
      </c>
      <c r="N46" s="17">
        <v>0.89600000000000002</v>
      </c>
      <c r="O46" s="17">
        <v>0.104</v>
      </c>
      <c r="P46" s="19">
        <v>704.55357142857144</v>
      </c>
      <c r="Q46" s="19">
        <v>1080</v>
      </c>
      <c r="R46" s="19">
        <v>375.44642857142861</v>
      </c>
    </row>
    <row r="47" spans="1:18">
      <c r="H47" s="14"/>
      <c r="I47" s="13"/>
      <c r="J47" s="13"/>
      <c r="K47" s="13"/>
    </row>
    <row r="48" spans="1:18">
      <c r="I48" s="13"/>
      <c r="J48" s="13"/>
      <c r="K48" s="13"/>
    </row>
    <row r="49" spans="9:11">
      <c r="I49" s="13"/>
      <c r="J49" s="13"/>
      <c r="K49" s="13"/>
    </row>
    <row r="50" spans="9:11">
      <c r="I50" s="13"/>
      <c r="J50" s="13"/>
      <c r="K50" s="13"/>
    </row>
    <row r="51" spans="9:11">
      <c r="I51" s="13"/>
      <c r="J51" s="13"/>
      <c r="K51" s="13"/>
    </row>
  </sheetData>
  <mergeCells count="10">
    <mergeCell ref="A1:R1"/>
    <mergeCell ref="A2:R2"/>
    <mergeCell ref="A9:D9"/>
    <mergeCell ref="P9:R9"/>
    <mergeCell ref="E3:J5"/>
    <mergeCell ref="N9:O9"/>
    <mergeCell ref="J9:M9"/>
    <mergeCell ref="H9:I9"/>
    <mergeCell ref="E9:G9"/>
    <mergeCell ref="K3:P5"/>
  </mergeCells>
  <conditionalFormatting sqref="N11:O45">
    <cfRule type="dataBar" priority="3">
      <dataBar>
        <cfvo type="min"/>
        <cfvo type="max"/>
        <color rgb="FFFFB628"/>
      </dataBar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7"/>
  <sheetViews>
    <sheetView workbookViewId="0"/>
  </sheetViews>
  <sheetFormatPr defaultColWidth="8.7109375" defaultRowHeight="14.45"/>
  <cols>
    <col min="1" max="1" width="13.5703125" style="2" customWidth="1"/>
    <col min="2" max="2" width="32.85546875" style="2" customWidth="1"/>
    <col min="3" max="3" width="15.5703125" style="2" customWidth="1"/>
    <col min="4" max="4" width="11" style="2" customWidth="1"/>
    <col min="5" max="5" width="59.7109375" style="2" customWidth="1"/>
    <col min="6" max="6" width="23.85546875" style="2" customWidth="1"/>
    <col min="7" max="7" width="15.7109375" style="2" customWidth="1"/>
    <col min="8" max="8" width="16.5703125" style="2" customWidth="1"/>
    <col min="9" max="9" width="18" style="2" customWidth="1"/>
    <col min="10" max="11" width="11.5703125" style="2" customWidth="1"/>
    <col min="12" max="12" width="31.7109375" style="2" customWidth="1"/>
    <col min="13" max="13" width="13" style="2" customWidth="1"/>
    <col min="14" max="14" width="11" style="2" customWidth="1"/>
    <col min="15" max="15" width="48.7109375" style="2" customWidth="1"/>
    <col min="16" max="16" width="12.140625" style="2" customWidth="1"/>
    <col min="17" max="17" width="11" style="2" customWidth="1"/>
    <col min="18" max="18" width="48.28515625" style="2" customWidth="1"/>
    <col min="19" max="19" width="12.85546875" style="2" customWidth="1"/>
    <col min="20" max="20" width="11.5703125" style="2" customWidth="1"/>
    <col min="21" max="21" width="16.42578125" style="2" customWidth="1"/>
    <col min="22" max="22" width="25" style="2" customWidth="1"/>
    <col min="23" max="24" width="23.85546875" style="2" customWidth="1"/>
    <col min="25" max="25" width="20.140625" style="2" customWidth="1"/>
    <col min="26" max="27" width="8.7109375" style="2" customWidth="1"/>
    <col min="28" max="28" width="26.140625" style="2" customWidth="1"/>
    <col min="29" max="33" width="34.42578125" style="2" customWidth="1"/>
    <col min="34" max="34" width="24.5703125" style="2" customWidth="1"/>
    <col min="35" max="35" width="25.140625" style="2" customWidth="1"/>
    <col min="36" max="36" width="21" style="2" customWidth="1"/>
    <col min="37" max="37" width="133" style="2" customWidth="1"/>
    <col min="38" max="38" width="39" style="2" customWidth="1"/>
    <col min="39" max="39" width="49.85546875" style="2" customWidth="1"/>
    <col min="40" max="40" width="52.85546875" style="2" customWidth="1"/>
    <col min="41" max="42" width="8.7109375" style="2"/>
    <col min="43" max="45" width="18" customWidth="1"/>
    <col min="46" max="16384" width="8.7109375" style="2"/>
  </cols>
  <sheetData>
    <row r="1" spans="1:45" s="1" customFormat="1" ht="57.95">
      <c r="A1" s="6" t="s">
        <v>70</v>
      </c>
      <c r="B1" s="6" t="s">
        <v>71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79</v>
      </c>
      <c r="K1" s="6" t="s">
        <v>80</v>
      </c>
      <c r="L1" s="6" t="s">
        <v>81</v>
      </c>
      <c r="M1" s="6" t="s">
        <v>82</v>
      </c>
      <c r="N1" s="6" t="s">
        <v>83</v>
      </c>
      <c r="O1" s="6" t="s">
        <v>84</v>
      </c>
      <c r="P1" s="6" t="s">
        <v>85</v>
      </c>
      <c r="Q1" s="6" t="s">
        <v>86</v>
      </c>
      <c r="R1" s="6" t="s">
        <v>87</v>
      </c>
      <c r="S1" s="6" t="s">
        <v>88</v>
      </c>
      <c r="T1" s="6" t="s">
        <v>89</v>
      </c>
      <c r="U1" s="6" t="s">
        <v>90</v>
      </c>
      <c r="V1" s="6" t="s">
        <v>91</v>
      </c>
      <c r="W1" s="6" t="s">
        <v>92</v>
      </c>
      <c r="X1" s="6" t="s">
        <v>93</v>
      </c>
      <c r="Y1" s="6" t="s">
        <v>94</v>
      </c>
      <c r="Z1" s="6" t="s">
        <v>95</v>
      </c>
      <c r="AA1" s="6" t="s">
        <v>96</v>
      </c>
      <c r="AB1" s="6" t="s">
        <v>97</v>
      </c>
      <c r="AC1" s="6" t="s">
        <v>98</v>
      </c>
      <c r="AD1" s="6" t="s">
        <v>99</v>
      </c>
      <c r="AE1" s="6" t="s">
        <v>100</v>
      </c>
      <c r="AF1" s="6" t="s">
        <v>101</v>
      </c>
      <c r="AG1" s="6" t="s">
        <v>102</v>
      </c>
      <c r="AH1" s="6" t="s">
        <v>103</v>
      </c>
      <c r="AI1" s="6" t="s">
        <v>104</v>
      </c>
      <c r="AJ1" s="6" t="s">
        <v>105</v>
      </c>
      <c r="AK1" s="6" t="s">
        <v>106</v>
      </c>
      <c r="AL1" s="6" t="s">
        <v>107</v>
      </c>
      <c r="AM1" s="6" t="s">
        <v>108</v>
      </c>
      <c r="AN1" s="6" t="s">
        <v>109</v>
      </c>
      <c r="AO1" s="6" t="s">
        <v>110</v>
      </c>
      <c r="AP1" s="6"/>
      <c r="AQ1" s="34" t="s">
        <v>111</v>
      </c>
      <c r="AR1" s="34"/>
      <c r="AS1" s="34"/>
    </row>
    <row r="2" spans="1:45">
      <c r="A2" s="2" t="s">
        <v>112</v>
      </c>
      <c r="B2" s="2" t="s">
        <v>113</v>
      </c>
      <c r="C2" s="2" t="s">
        <v>114</v>
      </c>
      <c r="D2" s="2" t="s">
        <v>114</v>
      </c>
      <c r="E2" s="2" t="s">
        <v>115</v>
      </c>
      <c r="F2" s="2" t="s">
        <v>116</v>
      </c>
      <c r="G2" s="2" t="s">
        <v>44</v>
      </c>
      <c r="H2" s="2">
        <v>117293</v>
      </c>
      <c r="I2" s="2">
        <v>2000</v>
      </c>
      <c r="J2" s="2">
        <v>55</v>
      </c>
      <c r="U2" s="2">
        <v>9</v>
      </c>
      <c r="V2" s="2">
        <v>2</v>
      </c>
      <c r="W2" s="2">
        <v>1</v>
      </c>
      <c r="X2" s="2">
        <v>43</v>
      </c>
      <c r="Y2" s="2">
        <v>23000</v>
      </c>
      <c r="Z2" s="2">
        <v>120000</v>
      </c>
      <c r="AA2" s="2" t="s">
        <v>117</v>
      </c>
      <c r="AB2" s="2" t="s">
        <v>118</v>
      </c>
      <c r="AC2" t="s">
        <v>119</v>
      </c>
      <c r="AD2"/>
      <c r="AE2"/>
      <c r="AF2"/>
      <c r="AG2"/>
      <c r="AL2" t="s">
        <v>120</v>
      </c>
      <c r="AM2" t="s">
        <v>121</v>
      </c>
      <c r="AQ2" s="35" t="s">
        <v>122</v>
      </c>
      <c r="AR2" s="35"/>
      <c r="AS2" s="35"/>
    </row>
    <row r="3" spans="1:45">
      <c r="A3" s="2" t="s">
        <v>123</v>
      </c>
      <c r="B3" s="2" t="s">
        <v>124</v>
      </c>
      <c r="C3" s="2" t="s">
        <v>125</v>
      </c>
      <c r="D3" s="2" t="s">
        <v>57</v>
      </c>
      <c r="E3" s="2" t="s">
        <v>126</v>
      </c>
      <c r="F3" s="2" t="s">
        <v>127</v>
      </c>
      <c r="G3" s="2" t="s">
        <v>44</v>
      </c>
      <c r="H3" s="2">
        <v>90000</v>
      </c>
      <c r="I3" s="2">
        <v>2000</v>
      </c>
      <c r="J3" s="2">
        <v>34</v>
      </c>
      <c r="U3" s="2">
        <v>6</v>
      </c>
      <c r="V3" s="2">
        <v>3</v>
      </c>
      <c r="W3" s="2">
        <v>2</v>
      </c>
      <c r="X3" s="2">
        <v>23</v>
      </c>
      <c r="Y3" s="2">
        <v>6000</v>
      </c>
      <c r="Z3" s="2">
        <v>45320</v>
      </c>
      <c r="AA3" s="2" t="s">
        <v>128</v>
      </c>
      <c r="AB3" s="2" t="s">
        <v>129</v>
      </c>
      <c r="AL3" t="s">
        <v>130</v>
      </c>
      <c r="AQ3" s="35" t="s">
        <v>131</v>
      </c>
      <c r="AR3" s="35"/>
      <c r="AS3" s="35"/>
    </row>
    <row r="4" spans="1:45">
      <c r="A4" s="2" t="s">
        <v>132</v>
      </c>
      <c r="B4" s="2" t="s">
        <v>133</v>
      </c>
      <c r="C4" s="2" t="s">
        <v>125</v>
      </c>
      <c r="D4" s="2" t="s">
        <v>52</v>
      </c>
      <c r="E4" s="2" t="s">
        <v>134</v>
      </c>
      <c r="F4" s="2" t="s">
        <v>135</v>
      </c>
      <c r="G4" s="2" t="s">
        <v>44</v>
      </c>
      <c r="H4" s="2">
        <v>91006</v>
      </c>
      <c r="I4" s="2">
        <v>700</v>
      </c>
      <c r="J4" s="2">
        <v>15</v>
      </c>
      <c r="U4" s="2">
        <v>0</v>
      </c>
      <c r="V4" s="2">
        <v>2</v>
      </c>
      <c r="W4" s="2">
        <v>2</v>
      </c>
      <c r="X4" s="2">
        <v>11</v>
      </c>
      <c r="Y4" s="2">
        <v>5500</v>
      </c>
      <c r="Z4" s="2">
        <v>22000</v>
      </c>
      <c r="AA4" s="2" t="s">
        <v>136</v>
      </c>
      <c r="AB4" s="2" t="s">
        <v>137</v>
      </c>
      <c r="AC4" t="s">
        <v>138</v>
      </c>
      <c r="AD4"/>
      <c r="AE4"/>
      <c r="AF4"/>
      <c r="AG4"/>
      <c r="AL4" t="s">
        <v>130</v>
      </c>
      <c r="AQ4" s="35" t="s">
        <v>139</v>
      </c>
      <c r="AR4" s="35"/>
      <c r="AS4" s="35"/>
    </row>
    <row r="5" spans="1:45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  <c r="F5" s="2" t="s">
        <v>145</v>
      </c>
      <c r="G5" s="2" t="s">
        <v>44</v>
      </c>
      <c r="H5" s="2">
        <v>118826</v>
      </c>
      <c r="I5" s="2">
        <v>740</v>
      </c>
      <c r="J5" s="2">
        <v>22</v>
      </c>
      <c r="U5" s="2">
        <v>0</v>
      </c>
      <c r="V5" s="2">
        <v>2</v>
      </c>
      <c r="W5" s="2">
        <v>1</v>
      </c>
      <c r="X5" s="2">
        <v>19</v>
      </c>
      <c r="Y5" s="2">
        <v>1800</v>
      </c>
      <c r="Z5" s="2">
        <v>38000</v>
      </c>
      <c r="AA5" s="2" t="s">
        <v>146</v>
      </c>
      <c r="AB5" s="2" t="s">
        <v>147</v>
      </c>
      <c r="AC5" t="s">
        <v>148</v>
      </c>
      <c r="AD5"/>
      <c r="AE5"/>
      <c r="AF5"/>
      <c r="AG5"/>
      <c r="AL5" t="s">
        <v>149</v>
      </c>
      <c r="AQ5" s="35"/>
      <c r="AR5" s="35"/>
      <c r="AS5" s="35"/>
    </row>
    <row r="6" spans="1:45">
      <c r="A6" s="2" t="s">
        <v>150</v>
      </c>
      <c r="B6" s="2" t="s">
        <v>151</v>
      </c>
      <c r="C6" s="2" t="s">
        <v>152</v>
      </c>
      <c r="D6" s="2" t="s">
        <v>153</v>
      </c>
      <c r="E6" s="2" t="s">
        <v>154</v>
      </c>
      <c r="F6" s="2" t="s">
        <v>155</v>
      </c>
      <c r="G6" s="2" t="s">
        <v>44</v>
      </c>
      <c r="H6" s="2">
        <v>84000</v>
      </c>
      <c r="I6" s="2">
        <v>360</v>
      </c>
      <c r="J6" s="2">
        <v>14</v>
      </c>
      <c r="U6" s="2">
        <v>2</v>
      </c>
      <c r="V6" s="2">
        <v>2</v>
      </c>
      <c r="W6" s="2">
        <v>1</v>
      </c>
      <c r="X6" s="2">
        <v>11</v>
      </c>
      <c r="Y6" s="2">
        <v>6000</v>
      </c>
      <c r="Z6" s="2">
        <v>25100</v>
      </c>
      <c r="AA6" s="2" t="s">
        <v>156</v>
      </c>
      <c r="AB6" s="2" t="s">
        <v>157</v>
      </c>
      <c r="AC6" t="s">
        <v>158</v>
      </c>
      <c r="AD6"/>
      <c r="AE6"/>
      <c r="AF6"/>
      <c r="AG6"/>
      <c r="AL6" t="s">
        <v>159</v>
      </c>
    </row>
    <row r="7" spans="1:45">
      <c r="A7" s="2" t="s">
        <v>160</v>
      </c>
      <c r="B7" s="2" t="s">
        <v>61</v>
      </c>
      <c r="C7" s="2" t="s">
        <v>161</v>
      </c>
      <c r="D7" s="2" t="s">
        <v>162</v>
      </c>
      <c r="E7" s="2" t="s">
        <v>163</v>
      </c>
      <c r="F7" s="2" t="s">
        <v>164</v>
      </c>
      <c r="G7" s="2" t="s">
        <v>44</v>
      </c>
    </row>
    <row r="8" spans="1:45">
      <c r="A8" s="2" t="s">
        <v>165</v>
      </c>
      <c r="B8" s="2" t="s">
        <v>166</v>
      </c>
      <c r="C8" s="2" t="s">
        <v>161</v>
      </c>
      <c r="D8" s="2" t="s">
        <v>167</v>
      </c>
      <c r="E8" s="2" t="s">
        <v>168</v>
      </c>
      <c r="F8" s="2" t="s">
        <v>169</v>
      </c>
      <c r="G8" s="2" t="s">
        <v>44</v>
      </c>
    </row>
    <row r="9" spans="1:45">
      <c r="A9" s="2" t="s">
        <v>170</v>
      </c>
      <c r="C9" s="2" t="s">
        <v>171</v>
      </c>
      <c r="D9" s="2" t="s">
        <v>32</v>
      </c>
      <c r="E9" s="2" t="s">
        <v>172</v>
      </c>
      <c r="F9" s="2" t="s">
        <v>173</v>
      </c>
      <c r="G9" s="2" t="s">
        <v>174</v>
      </c>
      <c r="H9" s="2">
        <v>117315</v>
      </c>
      <c r="I9" s="2">
        <v>1780</v>
      </c>
      <c r="J9" s="2">
        <v>56</v>
      </c>
      <c r="K9" s="2">
        <v>57</v>
      </c>
      <c r="L9" s="2" t="s">
        <v>175</v>
      </c>
      <c r="M9" s="2" t="s">
        <v>175</v>
      </c>
      <c r="N9" s="2" t="s">
        <v>175</v>
      </c>
      <c r="O9" s="2" t="s">
        <v>176</v>
      </c>
      <c r="P9" s="2">
        <v>6</v>
      </c>
      <c r="Q9" s="2">
        <v>28</v>
      </c>
      <c r="R9" s="2" t="s">
        <v>177</v>
      </c>
      <c r="S9" s="2">
        <v>4</v>
      </c>
      <c r="T9" s="2">
        <v>19</v>
      </c>
      <c r="U9" s="2">
        <v>0</v>
      </c>
      <c r="V9" s="2">
        <v>6</v>
      </c>
      <c r="W9" s="2">
        <v>0</v>
      </c>
      <c r="X9" s="2">
        <v>36</v>
      </c>
      <c r="Y9" s="2">
        <v>2200</v>
      </c>
      <c r="Z9" s="2">
        <v>5500</v>
      </c>
      <c r="AA9" s="2" t="s">
        <v>178</v>
      </c>
      <c r="AB9" s="2" t="s">
        <v>179</v>
      </c>
      <c r="AC9" t="s">
        <v>180</v>
      </c>
      <c r="AD9"/>
      <c r="AE9"/>
      <c r="AF9"/>
      <c r="AG9"/>
      <c r="AI9" s="2" t="s">
        <v>181</v>
      </c>
      <c r="AK9" s="2" t="s">
        <v>182</v>
      </c>
      <c r="AM9" t="s">
        <v>183</v>
      </c>
    </row>
    <row r="10" spans="1:45">
      <c r="A10" s="2" t="s">
        <v>184</v>
      </c>
      <c r="B10" s="2" t="s">
        <v>185</v>
      </c>
      <c r="C10" s="2" t="s">
        <v>171</v>
      </c>
      <c r="D10" s="2" t="s">
        <v>41</v>
      </c>
      <c r="E10" s="2" t="s">
        <v>186</v>
      </c>
      <c r="F10" s="2" t="s">
        <v>187</v>
      </c>
      <c r="G10" s="2" t="s">
        <v>174</v>
      </c>
      <c r="H10" s="2">
        <v>116254</v>
      </c>
      <c r="I10" s="2">
        <v>1800</v>
      </c>
      <c r="J10" s="2">
        <v>42</v>
      </c>
      <c r="K10" s="2">
        <v>30</v>
      </c>
      <c r="L10" s="2" t="s">
        <v>188</v>
      </c>
      <c r="M10" s="2">
        <v>1</v>
      </c>
      <c r="N10" s="2">
        <v>17</v>
      </c>
      <c r="O10" s="2" t="s">
        <v>189</v>
      </c>
      <c r="P10" s="2">
        <v>1</v>
      </c>
      <c r="Q10" s="2">
        <v>5</v>
      </c>
      <c r="R10" s="2" t="s">
        <v>190</v>
      </c>
      <c r="S10" s="2">
        <v>2</v>
      </c>
      <c r="T10" s="2">
        <v>4</v>
      </c>
      <c r="U10" s="2">
        <v>0</v>
      </c>
      <c r="V10" s="2">
        <v>6</v>
      </c>
      <c r="W10" s="2">
        <v>1</v>
      </c>
      <c r="X10" s="2">
        <v>22</v>
      </c>
      <c r="Y10" s="2">
        <v>2000</v>
      </c>
      <c r="Z10" s="2">
        <v>4000</v>
      </c>
      <c r="AA10" s="2" t="s">
        <v>191</v>
      </c>
      <c r="AB10" s="2" t="s">
        <v>192</v>
      </c>
      <c r="AC10" t="s">
        <v>193</v>
      </c>
      <c r="AD10"/>
      <c r="AE10"/>
      <c r="AF10"/>
      <c r="AG10"/>
      <c r="AH10" s="2">
        <v>112</v>
      </c>
      <c r="AI10" s="2" t="s">
        <v>194</v>
      </c>
      <c r="AK10" s="2" t="s">
        <v>195</v>
      </c>
      <c r="AL10" t="s">
        <v>196</v>
      </c>
    </row>
    <row r="11" spans="1:45">
      <c r="A11" s="2" t="s">
        <v>197</v>
      </c>
      <c r="B11" s="2" t="s">
        <v>198</v>
      </c>
      <c r="C11" s="2" t="s">
        <v>171</v>
      </c>
      <c r="D11" s="2" t="s">
        <v>34</v>
      </c>
      <c r="E11" s="2" t="s">
        <v>199</v>
      </c>
      <c r="F11" s="2" t="s">
        <v>200</v>
      </c>
      <c r="G11" s="2" t="s">
        <v>174</v>
      </c>
      <c r="H11" s="2">
        <v>116246</v>
      </c>
      <c r="I11" s="2">
        <v>4070</v>
      </c>
      <c r="J11" s="2">
        <v>64</v>
      </c>
      <c r="U11" s="2">
        <v>8</v>
      </c>
      <c r="V11" s="2">
        <v>8</v>
      </c>
      <c r="W11" s="2">
        <v>8</v>
      </c>
      <c r="X11" s="2">
        <v>35</v>
      </c>
      <c r="Y11" s="2">
        <v>3500</v>
      </c>
      <c r="Z11" s="2">
        <v>4000</v>
      </c>
      <c r="AA11" s="2" t="s">
        <v>201</v>
      </c>
      <c r="AB11" s="2" t="s">
        <v>202</v>
      </c>
      <c r="AC11" t="s">
        <v>203</v>
      </c>
      <c r="AD11"/>
      <c r="AE11"/>
      <c r="AF11"/>
      <c r="AG11"/>
      <c r="AH11" s="2">
        <v>200</v>
      </c>
      <c r="AI11" s="2" t="s">
        <v>194</v>
      </c>
      <c r="AJ11" s="2" t="s">
        <v>204</v>
      </c>
      <c r="AK11" s="2" t="s">
        <v>205</v>
      </c>
      <c r="AM11" t="s">
        <v>206</v>
      </c>
    </row>
    <row r="12" spans="1:45">
      <c r="A12" s="2" t="s">
        <v>207</v>
      </c>
      <c r="C12" s="2" t="s">
        <v>171</v>
      </c>
      <c r="D12" s="2" t="s">
        <v>39</v>
      </c>
      <c r="E12" s="2" t="s">
        <v>208</v>
      </c>
      <c r="F12" s="2" t="s">
        <v>209</v>
      </c>
      <c r="G12" s="2" t="s">
        <v>174</v>
      </c>
      <c r="H12" s="2">
        <v>66001</v>
      </c>
      <c r="I12" s="2">
        <v>1150</v>
      </c>
      <c r="J12" s="2">
        <v>32</v>
      </c>
      <c r="U12" s="2">
        <v>0</v>
      </c>
      <c r="V12" s="2" t="s">
        <v>210</v>
      </c>
      <c r="W12" s="2" t="s">
        <v>211</v>
      </c>
      <c r="X12" s="2">
        <v>17</v>
      </c>
      <c r="Y12" s="2">
        <v>1292</v>
      </c>
      <c r="Z12" s="2">
        <v>3487</v>
      </c>
      <c r="AA12" s="2" t="s">
        <v>212</v>
      </c>
      <c r="AB12" s="2" t="s">
        <v>213</v>
      </c>
      <c r="AC12" t="s">
        <v>214</v>
      </c>
      <c r="AD12"/>
      <c r="AE12"/>
      <c r="AF12"/>
      <c r="AG12"/>
      <c r="AH12" s="2">
        <v>16</v>
      </c>
      <c r="AI12" s="2" t="s">
        <v>215</v>
      </c>
      <c r="AK12" s="2" t="s">
        <v>216</v>
      </c>
      <c r="AM12" t="s">
        <v>217</v>
      </c>
    </row>
    <row r="13" spans="1:45">
      <c r="A13" s="2" t="s">
        <v>218</v>
      </c>
      <c r="C13" s="2" t="s">
        <v>171</v>
      </c>
      <c r="D13" s="2" t="s">
        <v>37</v>
      </c>
      <c r="E13" s="2" t="s">
        <v>219</v>
      </c>
      <c r="F13" s="2" t="s">
        <v>220</v>
      </c>
      <c r="G13" s="2" t="s">
        <v>174</v>
      </c>
      <c r="H13" s="2">
        <v>27006</v>
      </c>
      <c r="I13" s="2">
        <v>2000</v>
      </c>
      <c r="J13" s="2">
        <v>28</v>
      </c>
      <c r="U13" s="2">
        <v>4</v>
      </c>
      <c r="V13" s="2">
        <v>5</v>
      </c>
      <c r="W13" s="2">
        <v>4</v>
      </c>
      <c r="X13" s="2">
        <v>11</v>
      </c>
      <c r="Y13" s="2">
        <v>2600</v>
      </c>
      <c r="Z13" s="2">
        <v>1300</v>
      </c>
      <c r="AA13" s="2" t="s">
        <v>221</v>
      </c>
      <c r="AB13" s="2" t="s">
        <v>222</v>
      </c>
      <c r="AH13" s="2">
        <v>29.05</v>
      </c>
      <c r="AI13" s="2" t="s">
        <v>223</v>
      </c>
      <c r="AK13" s="2" t="s">
        <v>224</v>
      </c>
      <c r="AM13" t="s">
        <v>225</v>
      </c>
    </row>
    <row r="14" spans="1:45">
      <c r="A14" s="2" t="s">
        <v>226</v>
      </c>
      <c r="C14" s="2" t="s">
        <v>227</v>
      </c>
      <c r="D14" s="2" t="s">
        <v>55</v>
      </c>
      <c r="E14" s="2" t="s">
        <v>228</v>
      </c>
      <c r="F14" s="2" t="s">
        <v>229</v>
      </c>
      <c r="G14" s="2" t="s">
        <v>174</v>
      </c>
      <c r="H14" s="2">
        <v>63002</v>
      </c>
      <c r="I14" s="2">
        <v>1000</v>
      </c>
      <c r="J14" s="2">
        <v>13</v>
      </c>
      <c r="K14" s="2">
        <v>12</v>
      </c>
      <c r="L14" s="2" t="s">
        <v>230</v>
      </c>
      <c r="M14" s="2" t="s">
        <v>230</v>
      </c>
      <c r="N14" s="2" t="s">
        <v>230</v>
      </c>
      <c r="O14" s="2" t="s">
        <v>231</v>
      </c>
      <c r="P14" s="2">
        <v>1</v>
      </c>
      <c r="Q14" s="2">
        <v>3</v>
      </c>
      <c r="R14" s="2" t="s">
        <v>232</v>
      </c>
      <c r="S14" s="2">
        <v>2</v>
      </c>
      <c r="T14" s="2">
        <v>6</v>
      </c>
      <c r="U14" s="2" t="s">
        <v>233</v>
      </c>
      <c r="V14" s="2" t="s">
        <v>234</v>
      </c>
      <c r="W14" s="2" t="s">
        <v>234</v>
      </c>
      <c r="X14" s="2">
        <v>6</v>
      </c>
      <c r="Y14" s="2">
        <v>400</v>
      </c>
      <c r="Z14" s="2">
        <v>2000</v>
      </c>
      <c r="AA14" s="2" t="s">
        <v>235</v>
      </c>
      <c r="AB14" s="2" t="s">
        <v>236</v>
      </c>
      <c r="AK14" s="2" t="s">
        <v>237</v>
      </c>
      <c r="AM14" t="s">
        <v>238</v>
      </c>
      <c r="AN14" t="s">
        <v>239</v>
      </c>
    </row>
    <row r="15" spans="1:45">
      <c r="A15" s="2" t="s">
        <v>240</v>
      </c>
      <c r="C15" s="2" t="s">
        <v>171</v>
      </c>
      <c r="D15" s="2" t="s">
        <v>241</v>
      </c>
      <c r="E15" s="2" t="s">
        <v>242</v>
      </c>
      <c r="F15" s="2" t="s">
        <v>243</v>
      </c>
      <c r="G15" s="2" t="s">
        <v>62</v>
      </c>
      <c r="H15" s="2">
        <v>114871</v>
      </c>
      <c r="J15" s="2">
        <v>60</v>
      </c>
      <c r="K15" s="2">
        <v>60</v>
      </c>
      <c r="L15" s="2" t="s">
        <v>244</v>
      </c>
      <c r="M15" s="2">
        <v>2</v>
      </c>
      <c r="N15" s="2">
        <v>12</v>
      </c>
      <c r="O15" s="2" t="s">
        <v>245</v>
      </c>
      <c r="P15" s="2">
        <v>4</v>
      </c>
      <c r="Q15" s="2">
        <v>16</v>
      </c>
      <c r="R15" s="2" t="s">
        <v>246</v>
      </c>
      <c r="S15" s="2">
        <v>5</v>
      </c>
      <c r="T15" s="2">
        <v>16</v>
      </c>
      <c r="U15" s="2">
        <v>21</v>
      </c>
      <c r="V15" s="2">
        <v>0</v>
      </c>
      <c r="W15" s="2">
        <v>0</v>
      </c>
      <c r="X15" s="2">
        <v>37</v>
      </c>
      <c r="Y15" s="2">
        <v>25281</v>
      </c>
      <c r="Z15" s="2">
        <v>15916</v>
      </c>
      <c r="AA15" s="2" t="s">
        <v>247</v>
      </c>
      <c r="AB15" s="2" t="s">
        <v>248</v>
      </c>
      <c r="AC15" t="s">
        <v>249</v>
      </c>
      <c r="AD15"/>
      <c r="AE15"/>
      <c r="AF15"/>
      <c r="AG15"/>
      <c r="AI15" s="2" t="s">
        <v>194</v>
      </c>
    </row>
    <row r="16" spans="1:45">
      <c r="A16" s="2" t="s">
        <v>250</v>
      </c>
      <c r="C16" s="2" t="s">
        <v>251</v>
      </c>
      <c r="D16" s="2" t="s">
        <v>252</v>
      </c>
      <c r="E16" s="2" t="s">
        <v>253</v>
      </c>
      <c r="F16" s="2" t="s">
        <v>254</v>
      </c>
      <c r="G16" s="2" t="s">
        <v>62</v>
      </c>
      <c r="H16" s="2">
        <v>118222</v>
      </c>
      <c r="I16" s="2">
        <v>2623</v>
      </c>
      <c r="J16" s="2">
        <v>54</v>
      </c>
      <c r="K16" s="2">
        <v>52</v>
      </c>
      <c r="L16" s="2" t="s">
        <v>255</v>
      </c>
      <c r="M16" s="2">
        <v>2</v>
      </c>
      <c r="N16" s="2">
        <v>11</v>
      </c>
      <c r="O16" s="2" t="s">
        <v>256</v>
      </c>
      <c r="P16" s="2">
        <v>4</v>
      </c>
      <c r="Q16" s="2">
        <v>12</v>
      </c>
      <c r="R16" s="2" t="s">
        <v>257</v>
      </c>
      <c r="S16" s="2">
        <v>4</v>
      </c>
      <c r="T16" s="2">
        <v>16</v>
      </c>
      <c r="U16" s="2">
        <v>14</v>
      </c>
      <c r="V16" s="2">
        <v>0</v>
      </c>
      <c r="W16" s="2">
        <v>0</v>
      </c>
      <c r="X16" s="2">
        <v>28</v>
      </c>
      <c r="Y16" s="2">
        <v>8243</v>
      </c>
      <c r="Z16" s="2">
        <v>5011</v>
      </c>
      <c r="AA16" s="2" t="s">
        <v>258</v>
      </c>
      <c r="AB16" s="2" t="s">
        <v>259</v>
      </c>
      <c r="AC16" t="s">
        <v>260</v>
      </c>
      <c r="AD16"/>
      <c r="AE16"/>
      <c r="AF16"/>
      <c r="AG16"/>
      <c r="AI16" s="2" t="s">
        <v>194</v>
      </c>
    </row>
    <row r="17" spans="1:40">
      <c r="A17" s="2" t="s">
        <v>261</v>
      </c>
      <c r="C17" s="2" t="s">
        <v>171</v>
      </c>
      <c r="D17" s="2" t="s">
        <v>262</v>
      </c>
      <c r="E17" s="2" t="s">
        <v>263</v>
      </c>
      <c r="F17" s="2" t="s">
        <v>264</v>
      </c>
      <c r="G17" s="2" t="s">
        <v>62</v>
      </c>
      <c r="H17" s="2">
        <v>118235</v>
      </c>
      <c r="I17" s="2">
        <v>16000</v>
      </c>
      <c r="J17" s="2">
        <v>76</v>
      </c>
      <c r="K17" s="2">
        <v>69</v>
      </c>
      <c r="L17" s="2" t="s">
        <v>265</v>
      </c>
      <c r="M17" s="2">
        <v>4</v>
      </c>
      <c r="N17" s="2">
        <v>15</v>
      </c>
      <c r="O17" s="2" t="s">
        <v>266</v>
      </c>
      <c r="P17" s="2">
        <v>4</v>
      </c>
      <c r="Q17" s="2">
        <v>20</v>
      </c>
      <c r="R17" s="2" t="s">
        <v>267</v>
      </c>
      <c r="S17" s="2">
        <v>4</v>
      </c>
      <c r="T17" s="2">
        <v>22</v>
      </c>
      <c r="U17" s="2">
        <v>22</v>
      </c>
      <c r="V17" s="2">
        <v>0</v>
      </c>
      <c r="W17" s="2">
        <v>0</v>
      </c>
      <c r="X17" s="2">
        <v>29</v>
      </c>
      <c r="Y17" s="2">
        <v>15200</v>
      </c>
      <c r="Z17" s="2">
        <v>9500</v>
      </c>
      <c r="AA17" s="2" t="s">
        <v>268</v>
      </c>
      <c r="AB17" s="2" t="s">
        <v>269</v>
      </c>
      <c r="AC17" t="s">
        <v>270</v>
      </c>
      <c r="AD17"/>
      <c r="AE17"/>
      <c r="AF17"/>
      <c r="AG17"/>
      <c r="AI17" s="2" t="s">
        <v>194</v>
      </c>
    </row>
    <row r="18" spans="1:40">
      <c r="A18" s="2" t="s">
        <v>271</v>
      </c>
      <c r="C18" s="2" t="s">
        <v>171</v>
      </c>
      <c r="D18" s="2" t="s">
        <v>272</v>
      </c>
      <c r="E18" s="2" t="s">
        <v>273</v>
      </c>
      <c r="F18" s="2" t="s">
        <v>274</v>
      </c>
      <c r="G18" s="2" t="s">
        <v>62</v>
      </c>
      <c r="H18" s="2">
        <v>118249</v>
      </c>
      <c r="I18" s="2">
        <v>2356</v>
      </c>
      <c r="J18" s="2">
        <v>60</v>
      </c>
      <c r="K18" s="2">
        <v>54</v>
      </c>
      <c r="L18" s="2" t="s">
        <v>275</v>
      </c>
      <c r="M18" s="2">
        <v>3</v>
      </c>
      <c r="N18" s="2">
        <v>11</v>
      </c>
      <c r="O18" s="2" t="s">
        <v>276</v>
      </c>
      <c r="P18" s="2">
        <v>4</v>
      </c>
      <c r="Q18" s="2">
        <v>15</v>
      </c>
      <c r="R18" s="2" t="s">
        <v>277</v>
      </c>
      <c r="S18" s="2">
        <v>5</v>
      </c>
      <c r="T18" s="2">
        <v>16</v>
      </c>
      <c r="U18" s="2">
        <v>31</v>
      </c>
      <c r="V18" s="2">
        <v>0</v>
      </c>
      <c r="W18" s="2">
        <v>0</v>
      </c>
      <c r="X18" s="2">
        <v>16</v>
      </c>
      <c r="Y18" s="2">
        <v>8500</v>
      </c>
      <c r="Z18" s="2">
        <v>6900</v>
      </c>
      <c r="AA18" s="2" t="s">
        <v>278</v>
      </c>
      <c r="AB18" s="2" t="s">
        <v>279</v>
      </c>
      <c r="AC18" t="s">
        <v>280</v>
      </c>
      <c r="AD18"/>
      <c r="AE18"/>
      <c r="AF18"/>
      <c r="AG18"/>
      <c r="AI18" s="2" t="s">
        <v>194</v>
      </c>
    </row>
    <row r="19" spans="1:40">
      <c r="A19" s="2" t="s">
        <v>281</v>
      </c>
      <c r="C19" s="2" t="s">
        <v>251</v>
      </c>
      <c r="D19" s="2" t="s">
        <v>282</v>
      </c>
      <c r="E19" s="2" t="s">
        <v>283</v>
      </c>
      <c r="F19" s="2" t="s">
        <v>284</v>
      </c>
      <c r="G19" s="2" t="s">
        <v>62</v>
      </c>
      <c r="H19" s="2">
        <v>121746</v>
      </c>
      <c r="I19" s="2">
        <v>2637</v>
      </c>
      <c r="J19" s="2">
        <v>54</v>
      </c>
      <c r="K19" s="2">
        <v>54</v>
      </c>
      <c r="L19" s="2" t="s">
        <v>275</v>
      </c>
      <c r="M19" s="2">
        <v>3</v>
      </c>
      <c r="N19" s="2">
        <v>8</v>
      </c>
      <c r="O19" s="2" t="s">
        <v>276</v>
      </c>
      <c r="P19" s="2">
        <v>4</v>
      </c>
      <c r="Q19" s="2">
        <v>17</v>
      </c>
      <c r="R19" s="2" t="s">
        <v>285</v>
      </c>
      <c r="S19" s="2">
        <v>4</v>
      </c>
      <c r="T19" s="2">
        <v>15</v>
      </c>
      <c r="U19" s="2">
        <v>26</v>
      </c>
      <c r="V19" s="2">
        <v>0</v>
      </c>
      <c r="W19" s="2">
        <v>0</v>
      </c>
      <c r="X19" s="2">
        <v>13</v>
      </c>
      <c r="Y19" s="2">
        <v>12000</v>
      </c>
      <c r="Z19" s="2">
        <v>10000</v>
      </c>
      <c r="AA19" s="2" t="s">
        <v>286</v>
      </c>
      <c r="AB19" s="2" t="s">
        <v>287</v>
      </c>
      <c r="AC19" t="s">
        <v>288</v>
      </c>
      <c r="AD19"/>
      <c r="AE19"/>
      <c r="AF19"/>
      <c r="AG19"/>
      <c r="AI19" s="2" t="s">
        <v>194</v>
      </c>
    </row>
    <row r="20" spans="1:40">
      <c r="A20" s="2" t="s">
        <v>289</v>
      </c>
      <c r="B20" s="2" t="s">
        <v>290</v>
      </c>
      <c r="C20" s="2" t="s">
        <v>42</v>
      </c>
      <c r="D20" s="2" t="s">
        <v>291</v>
      </c>
      <c r="E20" s="2" t="s">
        <v>292</v>
      </c>
      <c r="F20" s="2" t="s">
        <v>293</v>
      </c>
      <c r="G20" s="2" t="s">
        <v>294</v>
      </c>
      <c r="H20" s="2">
        <v>116275</v>
      </c>
      <c r="I20" s="2">
        <v>1500</v>
      </c>
      <c r="J20" s="2">
        <v>63</v>
      </c>
      <c r="K20" s="3">
        <v>60</v>
      </c>
      <c r="L20" s="4" t="s">
        <v>295</v>
      </c>
      <c r="M20" s="3">
        <v>2</v>
      </c>
      <c r="N20" s="3">
        <v>20</v>
      </c>
      <c r="O20" s="4" t="s">
        <v>296</v>
      </c>
      <c r="P20" s="3">
        <v>3</v>
      </c>
      <c r="Q20" s="3">
        <v>12</v>
      </c>
      <c r="R20" s="3" t="s">
        <v>297</v>
      </c>
      <c r="S20" s="3">
        <v>3</v>
      </c>
      <c r="T20" s="3">
        <v>12</v>
      </c>
      <c r="U20" s="2" t="s">
        <v>298</v>
      </c>
      <c r="V20" s="2">
        <v>13</v>
      </c>
      <c r="W20" s="2" t="s">
        <v>298</v>
      </c>
      <c r="X20" s="2" t="s">
        <v>298</v>
      </c>
      <c r="Y20" s="2">
        <v>2300</v>
      </c>
      <c r="Z20" s="2">
        <v>3400</v>
      </c>
      <c r="AA20" s="2" t="s">
        <v>299</v>
      </c>
      <c r="AB20" s="2" t="s">
        <v>300</v>
      </c>
      <c r="AC20" t="s">
        <v>301</v>
      </c>
      <c r="AD20"/>
      <c r="AE20"/>
      <c r="AF20"/>
      <c r="AG20"/>
      <c r="AL20" t="s">
        <v>302</v>
      </c>
    </row>
    <row r="21" spans="1:40">
      <c r="A21" s="2" t="s">
        <v>303</v>
      </c>
      <c r="C21" s="2" t="s">
        <v>50</v>
      </c>
      <c r="D21" s="2" t="s">
        <v>304</v>
      </c>
      <c r="E21" s="2" t="s">
        <v>305</v>
      </c>
      <c r="F21" s="2" t="s">
        <v>306</v>
      </c>
      <c r="G21" s="2" t="s">
        <v>294</v>
      </c>
      <c r="H21" s="2">
        <v>54003</v>
      </c>
      <c r="I21" s="2">
        <v>250</v>
      </c>
      <c r="J21" s="2">
        <v>22</v>
      </c>
      <c r="K21" s="3">
        <v>24</v>
      </c>
      <c r="L21" s="3" t="s">
        <v>307</v>
      </c>
      <c r="M21" s="3" t="s">
        <v>307</v>
      </c>
      <c r="N21" s="3" t="s">
        <v>307</v>
      </c>
      <c r="O21" s="3" t="s">
        <v>308</v>
      </c>
      <c r="P21" s="3">
        <v>3</v>
      </c>
      <c r="Q21" s="3">
        <v>11</v>
      </c>
      <c r="R21" s="3" t="s">
        <v>309</v>
      </c>
      <c r="S21" s="3">
        <v>1</v>
      </c>
      <c r="T21" s="3">
        <v>7</v>
      </c>
      <c r="U21" s="2" t="s">
        <v>298</v>
      </c>
      <c r="V21" s="2">
        <v>6</v>
      </c>
      <c r="W21" s="2" t="s">
        <v>298</v>
      </c>
      <c r="X21" s="2" t="s">
        <v>298</v>
      </c>
      <c r="Y21" s="2">
        <v>900</v>
      </c>
      <c r="Z21" s="2">
        <v>1500</v>
      </c>
      <c r="AA21" s="2" t="s">
        <v>310</v>
      </c>
      <c r="AB21" s="2" t="s">
        <v>311</v>
      </c>
    </row>
    <row r="22" spans="1:40">
      <c r="A22" s="2" t="s">
        <v>312</v>
      </c>
      <c r="C22" s="2" t="s">
        <v>51</v>
      </c>
      <c r="D22" s="2" t="s">
        <v>313</v>
      </c>
      <c r="E22" s="2" t="s">
        <v>314</v>
      </c>
      <c r="F22" s="2" t="s">
        <v>315</v>
      </c>
      <c r="G22" s="2" t="s">
        <v>294</v>
      </c>
      <c r="H22" s="2">
        <v>57002</v>
      </c>
      <c r="I22" s="2">
        <v>1000</v>
      </c>
      <c r="J22" s="2">
        <v>20</v>
      </c>
      <c r="K22" s="3">
        <v>20</v>
      </c>
      <c r="L22" s="4" t="s">
        <v>316</v>
      </c>
      <c r="M22" s="3">
        <v>2</v>
      </c>
      <c r="N22" s="3">
        <v>8</v>
      </c>
      <c r="O22" s="4" t="s">
        <v>317</v>
      </c>
      <c r="P22" s="3">
        <v>1</v>
      </c>
      <c r="Q22" s="3">
        <v>4</v>
      </c>
      <c r="R22" s="3" t="s">
        <v>318</v>
      </c>
      <c r="S22" s="3">
        <v>1</v>
      </c>
      <c r="T22" s="3">
        <v>4</v>
      </c>
      <c r="U22" s="2" t="s">
        <v>319</v>
      </c>
      <c r="V22" s="2" t="s">
        <v>319</v>
      </c>
      <c r="W22" s="2" t="s">
        <v>319</v>
      </c>
      <c r="X22" s="2" t="s">
        <v>319</v>
      </c>
      <c r="Y22" s="2">
        <v>1500</v>
      </c>
      <c r="Z22" s="2">
        <v>1850</v>
      </c>
      <c r="AA22" s="2" t="s">
        <v>320</v>
      </c>
      <c r="AB22" s="2" t="s">
        <v>321</v>
      </c>
      <c r="AC22" t="s">
        <v>322</v>
      </c>
      <c r="AD22"/>
      <c r="AE22"/>
      <c r="AF22"/>
      <c r="AG22"/>
      <c r="AL22" t="s">
        <v>302</v>
      </c>
      <c r="AM22" t="s">
        <v>323</v>
      </c>
    </row>
    <row r="23" spans="1:40">
      <c r="A23" s="2" t="s">
        <v>324</v>
      </c>
      <c r="C23" s="2" t="s">
        <v>60</v>
      </c>
      <c r="D23" s="2" t="s">
        <v>325</v>
      </c>
      <c r="E23" s="2" t="s">
        <v>326</v>
      </c>
      <c r="F23" s="2" t="s">
        <v>327</v>
      </c>
      <c r="G23" s="2" t="s">
        <v>294</v>
      </c>
      <c r="H23" s="2">
        <v>47007</v>
      </c>
      <c r="I23" s="2">
        <v>234</v>
      </c>
      <c r="J23" s="2">
        <v>9</v>
      </c>
      <c r="K23" s="3">
        <v>10</v>
      </c>
      <c r="L23" s="4" t="s">
        <v>328</v>
      </c>
      <c r="M23" s="3">
        <v>1</v>
      </c>
      <c r="N23" s="3">
        <v>4</v>
      </c>
      <c r="O23" s="4" t="s">
        <v>329</v>
      </c>
      <c r="P23" s="3">
        <v>1</v>
      </c>
      <c r="Q23" s="3">
        <v>0</v>
      </c>
      <c r="R23" s="4" t="s">
        <v>330</v>
      </c>
      <c r="S23" s="3">
        <v>1</v>
      </c>
      <c r="T23" s="3">
        <v>2</v>
      </c>
      <c r="U23" s="2" t="s">
        <v>319</v>
      </c>
      <c r="V23" s="2" t="s">
        <v>319</v>
      </c>
      <c r="W23" s="2" t="s">
        <v>319</v>
      </c>
      <c r="X23" s="2" t="s">
        <v>319</v>
      </c>
      <c r="Y23" s="2">
        <v>250</v>
      </c>
      <c r="Z23" s="2">
        <v>950</v>
      </c>
      <c r="AA23" s="2" t="s">
        <v>331</v>
      </c>
      <c r="AB23" s="2" t="s">
        <v>332</v>
      </c>
    </row>
    <row r="24" spans="1:40">
      <c r="A24" s="2" t="s">
        <v>333</v>
      </c>
      <c r="B24" s="2" t="s">
        <v>334</v>
      </c>
      <c r="C24" s="2" t="s">
        <v>58</v>
      </c>
      <c r="D24" s="2" t="s">
        <v>335</v>
      </c>
      <c r="E24" s="2" t="s">
        <v>336</v>
      </c>
      <c r="F24" s="2" t="s">
        <v>337</v>
      </c>
      <c r="G24" s="2" t="s">
        <v>294</v>
      </c>
      <c r="H24" s="2">
        <v>116661</v>
      </c>
      <c r="I24" s="2">
        <v>350</v>
      </c>
      <c r="J24" s="2">
        <v>20</v>
      </c>
      <c r="K24" s="3">
        <v>21</v>
      </c>
      <c r="L24" s="4" t="s">
        <v>338</v>
      </c>
      <c r="M24" s="3">
        <v>1</v>
      </c>
      <c r="N24" s="3">
        <v>10</v>
      </c>
      <c r="O24" s="4" t="s">
        <v>339</v>
      </c>
      <c r="P24" s="3">
        <v>2</v>
      </c>
      <c r="Q24" s="3">
        <v>4</v>
      </c>
      <c r="R24" s="3" t="s">
        <v>340</v>
      </c>
      <c r="S24" s="3">
        <v>1</v>
      </c>
      <c r="T24" s="3">
        <v>3</v>
      </c>
      <c r="U24" s="2" t="s">
        <v>319</v>
      </c>
      <c r="V24" s="2" t="s">
        <v>319</v>
      </c>
      <c r="W24" s="2" t="s">
        <v>319</v>
      </c>
      <c r="X24" s="2" t="s">
        <v>319</v>
      </c>
      <c r="Y24" s="2">
        <v>950</v>
      </c>
      <c r="Z24" s="2">
        <v>1300</v>
      </c>
      <c r="AA24" s="2" t="s">
        <v>341</v>
      </c>
      <c r="AB24" s="2" t="s">
        <v>342</v>
      </c>
      <c r="AC24" t="s">
        <v>343</v>
      </c>
      <c r="AD24"/>
      <c r="AE24"/>
      <c r="AF24"/>
      <c r="AG24"/>
      <c r="AM24" t="s">
        <v>344</v>
      </c>
    </row>
    <row r="25" spans="1:40">
      <c r="A25" s="2" t="s">
        <v>345</v>
      </c>
      <c r="C25" s="2" t="s">
        <v>49</v>
      </c>
      <c r="D25" s="2" t="s">
        <v>346</v>
      </c>
      <c r="E25" s="2" t="s">
        <v>347</v>
      </c>
      <c r="F25" s="2" t="s">
        <v>348</v>
      </c>
      <c r="G25" s="2" t="s">
        <v>294</v>
      </c>
      <c r="H25" s="2">
        <v>46005</v>
      </c>
      <c r="I25" s="2">
        <v>1300</v>
      </c>
      <c r="J25" s="2">
        <v>22</v>
      </c>
      <c r="K25" s="3">
        <v>25</v>
      </c>
      <c r="L25" s="4" t="s">
        <v>349</v>
      </c>
      <c r="M25" s="3">
        <v>1</v>
      </c>
      <c r="N25" s="3">
        <v>4</v>
      </c>
      <c r="O25" s="4" t="s">
        <v>350</v>
      </c>
      <c r="P25" s="3">
        <v>2</v>
      </c>
      <c r="Q25" s="3">
        <v>8</v>
      </c>
      <c r="R25" s="3" t="s">
        <v>351</v>
      </c>
      <c r="S25" s="3">
        <v>1</v>
      </c>
      <c r="T25" s="3">
        <v>9</v>
      </c>
      <c r="U25" s="2" t="s">
        <v>319</v>
      </c>
      <c r="V25" s="2" t="s">
        <v>319</v>
      </c>
      <c r="W25" s="2" t="s">
        <v>319</v>
      </c>
      <c r="X25" s="2" t="s">
        <v>319</v>
      </c>
      <c r="Y25" s="2">
        <v>1700</v>
      </c>
      <c r="Z25" s="2">
        <v>1500</v>
      </c>
      <c r="AA25" s="2" t="s">
        <v>352</v>
      </c>
      <c r="AB25" s="2" t="s">
        <v>353</v>
      </c>
      <c r="AC25" t="s">
        <v>354</v>
      </c>
      <c r="AD25"/>
      <c r="AE25"/>
      <c r="AF25"/>
      <c r="AG25"/>
      <c r="AL25" t="s">
        <v>355</v>
      </c>
      <c r="AN25" t="s">
        <v>356</v>
      </c>
    </row>
    <row r="26" spans="1:40">
      <c r="A26" s="2" t="s">
        <v>357</v>
      </c>
      <c r="C26" s="2" t="s">
        <v>36</v>
      </c>
      <c r="D26" s="2" t="s">
        <v>358</v>
      </c>
      <c r="E26" s="2" t="s">
        <v>359</v>
      </c>
      <c r="F26" s="2" t="s">
        <v>360</v>
      </c>
      <c r="G26" s="2" t="s">
        <v>294</v>
      </c>
      <c r="H26" s="2">
        <v>11262</v>
      </c>
      <c r="I26" s="2">
        <v>1329</v>
      </c>
      <c r="J26" s="2">
        <v>38</v>
      </c>
      <c r="K26" s="3">
        <v>37</v>
      </c>
      <c r="L26" s="4" t="s">
        <v>361</v>
      </c>
      <c r="M26" s="3">
        <v>1</v>
      </c>
      <c r="N26" s="3">
        <v>5</v>
      </c>
      <c r="O26" s="4" t="s">
        <v>362</v>
      </c>
      <c r="P26" s="3">
        <v>2</v>
      </c>
      <c r="Q26" s="3">
        <v>13</v>
      </c>
      <c r="R26" s="3" t="s">
        <v>363</v>
      </c>
      <c r="S26" s="3">
        <v>1</v>
      </c>
      <c r="T26" s="3">
        <v>15</v>
      </c>
      <c r="U26" s="2" t="s">
        <v>319</v>
      </c>
      <c r="V26" s="2" t="s">
        <v>319</v>
      </c>
      <c r="W26" s="2" t="s">
        <v>319</v>
      </c>
      <c r="X26" s="2" t="s">
        <v>319</v>
      </c>
      <c r="Y26" s="2">
        <v>1100</v>
      </c>
      <c r="Z26" s="2">
        <v>1700</v>
      </c>
      <c r="AA26" s="2" t="s">
        <v>364</v>
      </c>
      <c r="AB26" s="2" t="s">
        <v>365</v>
      </c>
      <c r="AC26" t="s">
        <v>366</v>
      </c>
      <c r="AD26"/>
      <c r="AE26"/>
      <c r="AF26"/>
      <c r="AG26"/>
      <c r="AL26" t="s">
        <v>355</v>
      </c>
      <c r="AN26" t="s">
        <v>356</v>
      </c>
    </row>
    <row r="27" spans="1:40">
      <c r="A27" s="2" t="s">
        <v>367</v>
      </c>
      <c r="B27" s="2" t="s">
        <v>368</v>
      </c>
      <c r="C27" s="2" t="s">
        <v>53</v>
      </c>
      <c r="D27" s="2" t="s">
        <v>369</v>
      </c>
      <c r="E27" s="2" t="s">
        <v>370</v>
      </c>
      <c r="F27" s="2" t="s">
        <v>371</v>
      </c>
      <c r="G27" s="2" t="s">
        <v>294</v>
      </c>
      <c r="H27" s="2">
        <v>117200</v>
      </c>
      <c r="I27" s="2">
        <v>720</v>
      </c>
      <c r="J27" s="2">
        <v>26</v>
      </c>
      <c r="K27" s="3">
        <v>26</v>
      </c>
      <c r="L27" s="4" t="s">
        <v>372</v>
      </c>
      <c r="M27" s="3">
        <v>1</v>
      </c>
      <c r="N27" s="3">
        <v>9</v>
      </c>
      <c r="O27" s="4" t="s">
        <v>373</v>
      </c>
      <c r="P27" s="3">
        <v>3</v>
      </c>
      <c r="Q27" s="3">
        <v>8</v>
      </c>
      <c r="R27" s="3" t="s">
        <v>374</v>
      </c>
      <c r="S27" s="3">
        <v>1</v>
      </c>
      <c r="T27" s="3">
        <v>4</v>
      </c>
      <c r="U27" s="2" t="s">
        <v>319</v>
      </c>
      <c r="V27" s="2" t="s">
        <v>319</v>
      </c>
      <c r="W27" s="2" t="s">
        <v>319</v>
      </c>
      <c r="X27" s="2" t="s">
        <v>319</v>
      </c>
      <c r="Y27" s="2">
        <v>1250</v>
      </c>
      <c r="Z27" s="2">
        <v>1700</v>
      </c>
      <c r="AA27" s="2" t="s">
        <v>375</v>
      </c>
      <c r="AB27" s="2" t="s">
        <v>376</v>
      </c>
      <c r="AC27" t="s">
        <v>377</v>
      </c>
      <c r="AD27"/>
      <c r="AE27"/>
      <c r="AF27"/>
      <c r="AG27"/>
      <c r="AL27" t="s">
        <v>378</v>
      </c>
    </row>
    <row r="28" spans="1:40">
      <c r="A28" s="2" t="s">
        <v>379</v>
      </c>
      <c r="B28" s="2" t="s">
        <v>380</v>
      </c>
      <c r="C28" s="2" t="s">
        <v>47</v>
      </c>
      <c r="D28" s="2" t="s">
        <v>381</v>
      </c>
      <c r="E28" s="2" t="s">
        <v>382</v>
      </c>
      <c r="F28" s="2" t="s">
        <v>383</v>
      </c>
      <c r="G28" s="2" t="s">
        <v>294</v>
      </c>
      <c r="H28" s="2">
        <v>117196</v>
      </c>
      <c r="I28" s="2">
        <v>2000</v>
      </c>
      <c r="J28" s="2">
        <v>42</v>
      </c>
      <c r="K28" s="3">
        <v>41</v>
      </c>
      <c r="L28" s="4" t="s">
        <v>384</v>
      </c>
      <c r="M28" s="3">
        <v>2</v>
      </c>
      <c r="N28" s="3">
        <v>22</v>
      </c>
      <c r="O28" s="4" t="s">
        <v>385</v>
      </c>
      <c r="P28" s="3">
        <v>1</v>
      </c>
      <c r="Q28" s="3">
        <v>6</v>
      </c>
      <c r="R28" s="3" t="s">
        <v>386</v>
      </c>
      <c r="S28" s="3">
        <v>2</v>
      </c>
      <c r="T28" s="3">
        <v>8</v>
      </c>
      <c r="U28" s="2" t="s">
        <v>319</v>
      </c>
      <c r="V28" s="2" t="s">
        <v>319</v>
      </c>
      <c r="W28" s="2" t="s">
        <v>319</v>
      </c>
      <c r="X28" s="2" t="s">
        <v>319</v>
      </c>
      <c r="Y28" s="2">
        <v>1800</v>
      </c>
      <c r="Z28" s="2">
        <v>2600</v>
      </c>
      <c r="AA28" s="2" t="s">
        <v>387</v>
      </c>
      <c r="AB28" s="2" t="s">
        <v>388</v>
      </c>
      <c r="AC28" t="s">
        <v>389</v>
      </c>
      <c r="AD28"/>
      <c r="AE28"/>
      <c r="AF28"/>
      <c r="AG28"/>
      <c r="AL28" t="s">
        <v>378</v>
      </c>
    </row>
    <row r="29" spans="1:40">
      <c r="A29" s="2" t="s">
        <v>390</v>
      </c>
      <c r="B29" s="2" t="s">
        <v>391</v>
      </c>
      <c r="C29" s="2" t="s">
        <v>392</v>
      </c>
      <c r="D29" s="2" t="s">
        <v>393</v>
      </c>
      <c r="E29" s="2" t="s">
        <v>394</v>
      </c>
      <c r="F29" s="2" t="s">
        <v>395</v>
      </c>
      <c r="G29" s="2" t="s">
        <v>396</v>
      </c>
      <c r="H29" s="2">
        <v>139653</v>
      </c>
      <c r="I29" s="2">
        <v>3200</v>
      </c>
      <c r="J29" s="2">
        <v>71</v>
      </c>
      <c r="K29" s="2">
        <v>112</v>
      </c>
      <c r="L29" s="2" t="s">
        <v>397</v>
      </c>
      <c r="M29" s="2">
        <v>3</v>
      </c>
      <c r="N29" s="2">
        <v>22</v>
      </c>
      <c r="O29" s="2" t="s">
        <v>398</v>
      </c>
      <c r="P29" s="2">
        <v>10</v>
      </c>
      <c r="Q29" s="2">
        <v>42</v>
      </c>
      <c r="R29" s="2" t="s">
        <v>399</v>
      </c>
      <c r="S29" s="2">
        <v>6</v>
      </c>
      <c r="T29" s="2">
        <v>29</v>
      </c>
      <c r="X29" s="2">
        <v>8</v>
      </c>
      <c r="Y29" s="2">
        <v>2000</v>
      </c>
      <c r="Z29" s="2">
        <v>4000</v>
      </c>
      <c r="AA29" s="2" t="s">
        <v>400</v>
      </c>
      <c r="AB29" s="2" t="s">
        <v>401</v>
      </c>
      <c r="AH29" s="5" t="s">
        <v>402</v>
      </c>
      <c r="AI29" s="5" t="s">
        <v>403</v>
      </c>
      <c r="AK29" s="2" t="s">
        <v>404</v>
      </c>
      <c r="AL29" t="s">
        <v>405</v>
      </c>
      <c r="AM29" t="s">
        <v>406</v>
      </c>
    </row>
    <row r="30" spans="1:40">
      <c r="A30" s="2" t="s">
        <v>407</v>
      </c>
      <c r="B30" s="2" t="s">
        <v>408</v>
      </c>
      <c r="C30" s="2" t="s">
        <v>392</v>
      </c>
      <c r="D30" s="2" t="s">
        <v>392</v>
      </c>
      <c r="E30" s="2" t="s">
        <v>409</v>
      </c>
      <c r="F30" s="2" t="s">
        <v>410</v>
      </c>
      <c r="G30" s="2" t="s">
        <v>396</v>
      </c>
      <c r="H30" s="2">
        <v>116831</v>
      </c>
      <c r="I30" s="2">
        <v>4000</v>
      </c>
      <c r="J30" s="2">
        <v>86</v>
      </c>
      <c r="K30" s="2">
        <v>87</v>
      </c>
      <c r="L30" s="2" t="s">
        <v>411</v>
      </c>
      <c r="M30" s="2">
        <v>6</v>
      </c>
      <c r="N30" s="2">
        <v>34</v>
      </c>
      <c r="O30" s="2" t="s">
        <v>412</v>
      </c>
      <c r="P30" s="2">
        <v>6</v>
      </c>
      <c r="Q30" s="2">
        <v>15</v>
      </c>
      <c r="R30" s="2" t="s">
        <v>413</v>
      </c>
      <c r="S30" s="2">
        <v>7</v>
      </c>
      <c r="T30" s="2">
        <v>19</v>
      </c>
      <c r="U30" s="2">
        <v>0</v>
      </c>
      <c r="V30" s="2">
        <v>11</v>
      </c>
      <c r="W30" s="2">
        <v>12</v>
      </c>
      <c r="X30" s="2">
        <v>46</v>
      </c>
      <c r="Y30" s="2">
        <v>4856</v>
      </c>
      <c r="Z30" s="2">
        <v>6793</v>
      </c>
      <c r="AA30" s="2" t="s">
        <v>414</v>
      </c>
      <c r="AB30" s="2" t="s">
        <v>415</v>
      </c>
      <c r="AC30" t="s">
        <v>416</v>
      </c>
      <c r="AD30"/>
      <c r="AE30"/>
      <c r="AF30"/>
      <c r="AG30"/>
      <c r="AH30" s="2" t="s">
        <v>417</v>
      </c>
      <c r="AI30" s="2" t="s">
        <v>418</v>
      </c>
      <c r="AK30" s="2" t="s">
        <v>419</v>
      </c>
      <c r="AL30" t="s">
        <v>420</v>
      </c>
    </row>
    <row r="31" spans="1:40">
      <c r="A31" s="2" t="s">
        <v>421</v>
      </c>
      <c r="B31" s="2" t="s">
        <v>422</v>
      </c>
      <c r="C31" s="2" t="s">
        <v>423</v>
      </c>
      <c r="D31" s="2" t="s">
        <v>424</v>
      </c>
      <c r="E31" s="2" t="s">
        <v>425</v>
      </c>
      <c r="F31" s="2" t="s">
        <v>426</v>
      </c>
      <c r="G31" s="2" t="s">
        <v>396</v>
      </c>
      <c r="H31" s="2">
        <v>117307</v>
      </c>
      <c r="I31" s="2">
        <v>2820</v>
      </c>
      <c r="J31" s="2">
        <v>31</v>
      </c>
      <c r="K31" s="2">
        <v>31</v>
      </c>
      <c r="L31" s="2" t="s">
        <v>427</v>
      </c>
      <c r="M31" s="2">
        <v>1</v>
      </c>
      <c r="N31" s="2">
        <v>7</v>
      </c>
      <c r="O31" s="2" t="s">
        <v>428</v>
      </c>
      <c r="P31" s="2">
        <v>5</v>
      </c>
      <c r="Q31" s="2">
        <v>11</v>
      </c>
      <c r="R31" s="2" t="s">
        <v>429</v>
      </c>
      <c r="S31" s="2">
        <v>2</v>
      </c>
      <c r="T31" s="2">
        <v>5</v>
      </c>
      <c r="X31" s="2">
        <v>23</v>
      </c>
      <c r="Y31" s="2" t="s">
        <v>430</v>
      </c>
      <c r="Z31" s="2" t="s">
        <v>431</v>
      </c>
      <c r="AA31" s="2" t="s">
        <v>432</v>
      </c>
      <c r="AB31" s="2" t="s">
        <v>433</v>
      </c>
      <c r="AC31" t="s">
        <v>434</v>
      </c>
      <c r="AD31"/>
      <c r="AE31"/>
      <c r="AF31"/>
      <c r="AG31"/>
      <c r="AH31" s="2" t="s">
        <v>435</v>
      </c>
      <c r="AI31" s="2" t="s">
        <v>436</v>
      </c>
      <c r="AK31" s="2" t="s">
        <v>437</v>
      </c>
      <c r="AM31" t="s">
        <v>438</v>
      </c>
    </row>
    <row r="32" spans="1:40">
      <c r="A32" s="2" t="s">
        <v>439</v>
      </c>
      <c r="B32" s="2" t="s">
        <v>440</v>
      </c>
      <c r="C32" s="2" t="s">
        <v>441</v>
      </c>
      <c r="D32" s="2" t="s">
        <v>441</v>
      </c>
      <c r="E32" s="2" t="s">
        <v>442</v>
      </c>
      <c r="F32" s="2" t="s">
        <v>443</v>
      </c>
      <c r="G32" s="2" t="s">
        <v>396</v>
      </c>
      <c r="H32" s="2">
        <v>113255</v>
      </c>
      <c r="I32" s="2">
        <v>1819</v>
      </c>
      <c r="J32" s="2">
        <v>69</v>
      </c>
      <c r="K32" s="2">
        <v>70</v>
      </c>
      <c r="L32" s="2" t="s">
        <v>444</v>
      </c>
      <c r="M32" s="2">
        <v>4</v>
      </c>
      <c r="N32" s="2">
        <v>32</v>
      </c>
      <c r="O32" s="2" t="s">
        <v>445</v>
      </c>
      <c r="P32" s="2">
        <v>4</v>
      </c>
      <c r="Q32" s="2">
        <v>12</v>
      </c>
      <c r="R32" s="2" t="s">
        <v>446</v>
      </c>
      <c r="S32" s="2">
        <v>6</v>
      </c>
      <c r="T32" s="2">
        <v>12</v>
      </c>
      <c r="U32" s="2">
        <v>14</v>
      </c>
      <c r="V32" s="2">
        <v>18</v>
      </c>
      <c r="W32" s="2">
        <v>2</v>
      </c>
      <c r="X32" s="2">
        <v>33</v>
      </c>
      <c r="Y32" s="2" t="s">
        <v>447</v>
      </c>
      <c r="Z32" s="2" t="s">
        <v>448</v>
      </c>
      <c r="AA32" s="2" t="s">
        <v>449</v>
      </c>
      <c r="AB32" s="2" t="s">
        <v>450</v>
      </c>
      <c r="AC32" t="s">
        <v>451</v>
      </c>
      <c r="AD32"/>
      <c r="AE32"/>
      <c r="AF32"/>
      <c r="AG32"/>
      <c r="AH32" s="2" t="s">
        <v>452</v>
      </c>
      <c r="AI32" s="2" t="s">
        <v>453</v>
      </c>
      <c r="AK32" s="2" t="s">
        <v>454</v>
      </c>
      <c r="AL32" t="s">
        <v>455</v>
      </c>
      <c r="AM32" t="s">
        <v>438</v>
      </c>
    </row>
    <row r="33" spans="1:40">
      <c r="A33" s="2" t="s">
        <v>456</v>
      </c>
      <c r="B33" s="2" t="s">
        <v>457</v>
      </c>
      <c r="C33" s="2" t="s">
        <v>29</v>
      </c>
      <c r="D33" s="2" t="s">
        <v>458</v>
      </c>
      <c r="E33" s="2" t="s">
        <v>459</v>
      </c>
      <c r="F33" s="2" t="s">
        <v>460</v>
      </c>
      <c r="G33" s="2" t="s">
        <v>396</v>
      </c>
      <c r="H33" s="2">
        <v>116599</v>
      </c>
      <c r="I33" s="2">
        <v>6800</v>
      </c>
      <c r="J33" s="2">
        <v>108</v>
      </c>
      <c r="K33" s="2">
        <v>147</v>
      </c>
      <c r="L33" s="2" t="s">
        <v>461</v>
      </c>
      <c r="M33" s="2">
        <v>5</v>
      </c>
      <c r="N33" s="2">
        <v>27</v>
      </c>
      <c r="O33" s="2" t="s">
        <v>462</v>
      </c>
      <c r="P33" s="2">
        <v>8</v>
      </c>
      <c r="Q33" s="2">
        <v>38</v>
      </c>
      <c r="R33" s="2" t="s">
        <v>463</v>
      </c>
      <c r="S33" s="2">
        <v>12</v>
      </c>
      <c r="T33" s="2">
        <v>57</v>
      </c>
      <c r="U33" s="2">
        <v>10</v>
      </c>
      <c r="V33" s="2">
        <v>2</v>
      </c>
      <c r="W33" s="2">
        <v>2</v>
      </c>
      <c r="X33" s="2">
        <v>41</v>
      </c>
      <c r="Y33" s="2">
        <v>5500</v>
      </c>
      <c r="Z33" s="2">
        <v>8500</v>
      </c>
      <c r="AA33" s="2" t="s">
        <v>464</v>
      </c>
      <c r="AB33" s="2" t="s">
        <v>465</v>
      </c>
      <c r="AC33" t="s">
        <v>466</v>
      </c>
      <c r="AD33"/>
      <c r="AE33"/>
      <c r="AF33"/>
      <c r="AG33"/>
      <c r="AH33" s="2" t="s">
        <v>467</v>
      </c>
      <c r="AI33" s="2" t="s">
        <v>468</v>
      </c>
      <c r="AJ33" s="2" t="s">
        <v>469</v>
      </c>
      <c r="AK33" s="2" t="s">
        <v>470</v>
      </c>
      <c r="AL33" t="s">
        <v>471</v>
      </c>
      <c r="AM33" t="s">
        <v>344</v>
      </c>
    </row>
    <row r="34" spans="1:40">
      <c r="A34" s="2" t="s">
        <v>472</v>
      </c>
      <c r="B34" s="2" t="s">
        <v>473</v>
      </c>
      <c r="C34" s="2" t="s">
        <v>474</v>
      </c>
      <c r="D34" s="2" t="s">
        <v>475</v>
      </c>
      <c r="E34" s="2" t="s">
        <v>476</v>
      </c>
      <c r="F34" s="2" t="s">
        <v>477</v>
      </c>
      <c r="G34" s="2" t="s">
        <v>396</v>
      </c>
      <c r="H34" s="2">
        <v>114979</v>
      </c>
      <c r="I34" s="2">
        <v>1500</v>
      </c>
      <c r="J34" s="2">
        <v>35</v>
      </c>
      <c r="K34" s="2">
        <v>47</v>
      </c>
      <c r="L34" s="2" t="s">
        <v>478</v>
      </c>
      <c r="M34" s="2">
        <v>2</v>
      </c>
      <c r="N34" s="2">
        <v>8</v>
      </c>
      <c r="O34" s="2" t="s">
        <v>479</v>
      </c>
      <c r="P34" s="2">
        <v>5</v>
      </c>
      <c r="Q34" s="2">
        <v>5</v>
      </c>
      <c r="R34" s="2" t="s">
        <v>480</v>
      </c>
      <c r="S34" s="2">
        <v>4</v>
      </c>
      <c r="T34" s="2">
        <v>23</v>
      </c>
      <c r="U34" s="2">
        <v>4</v>
      </c>
      <c r="V34" s="2">
        <v>8</v>
      </c>
      <c r="X34" s="2">
        <v>23</v>
      </c>
      <c r="Y34" s="2">
        <v>1900</v>
      </c>
      <c r="Z34" s="2">
        <v>3800</v>
      </c>
      <c r="AA34" s="2" t="s">
        <v>481</v>
      </c>
      <c r="AB34" s="2" t="s">
        <v>482</v>
      </c>
      <c r="AC34" t="s">
        <v>483</v>
      </c>
      <c r="AD34"/>
      <c r="AE34"/>
      <c r="AF34"/>
      <c r="AG34"/>
      <c r="AH34" s="2" t="s">
        <v>484</v>
      </c>
      <c r="AI34" s="2" t="s">
        <v>485</v>
      </c>
      <c r="AK34" s="2" t="s">
        <v>486</v>
      </c>
      <c r="AL34" t="s">
        <v>487</v>
      </c>
      <c r="AN34" t="s">
        <v>488</v>
      </c>
    </row>
    <row r="35" spans="1:40">
      <c r="A35" s="2" t="s">
        <v>489</v>
      </c>
      <c r="B35" s="2" t="s">
        <v>490</v>
      </c>
      <c r="C35" s="2" t="s">
        <v>491</v>
      </c>
      <c r="D35" s="2" t="s">
        <v>492</v>
      </c>
      <c r="E35" s="2" t="s">
        <v>493</v>
      </c>
      <c r="F35" s="2" t="s">
        <v>494</v>
      </c>
      <c r="G35" s="2" t="s">
        <v>396</v>
      </c>
      <c r="H35" s="2">
        <v>350095</v>
      </c>
      <c r="I35" s="2">
        <v>1158</v>
      </c>
      <c r="J35" s="2">
        <v>40</v>
      </c>
      <c r="K35" s="2">
        <v>30</v>
      </c>
      <c r="L35" s="2" t="s">
        <v>495</v>
      </c>
      <c r="M35" s="2">
        <v>4</v>
      </c>
      <c r="N35" s="2">
        <v>15</v>
      </c>
      <c r="O35" s="2" t="s">
        <v>189</v>
      </c>
      <c r="P35" s="2">
        <v>2</v>
      </c>
      <c r="Q35" s="2">
        <v>3</v>
      </c>
      <c r="R35" s="2" t="s">
        <v>496</v>
      </c>
      <c r="S35" s="2">
        <v>2</v>
      </c>
      <c r="T35" s="2">
        <v>4</v>
      </c>
      <c r="U35" s="2">
        <v>6</v>
      </c>
      <c r="V35" s="2">
        <v>12</v>
      </c>
      <c r="W35" s="2">
        <v>4</v>
      </c>
      <c r="X35" s="2">
        <v>18</v>
      </c>
      <c r="Y35" s="2">
        <v>850</v>
      </c>
      <c r="Z35" s="2">
        <v>2900</v>
      </c>
      <c r="AA35" s="2" t="s">
        <v>497</v>
      </c>
      <c r="AB35" s="2" t="s">
        <v>498</v>
      </c>
      <c r="AC35" t="s">
        <v>499</v>
      </c>
      <c r="AD35"/>
      <c r="AE35"/>
      <c r="AF35"/>
      <c r="AG35"/>
      <c r="AH35" s="2" t="s">
        <v>500</v>
      </c>
      <c r="AI35" s="2" t="s">
        <v>194</v>
      </c>
      <c r="AK35" s="2" t="s">
        <v>501</v>
      </c>
      <c r="AL35" t="s">
        <v>455</v>
      </c>
    </row>
    <row r="36" spans="1:40">
      <c r="A36" s="2" t="s">
        <v>502</v>
      </c>
      <c r="C36" s="2" t="s">
        <v>29</v>
      </c>
      <c r="D36" s="2" t="s">
        <v>503</v>
      </c>
      <c r="E36" s="2" t="s">
        <v>504</v>
      </c>
      <c r="F36" s="2" t="s">
        <v>505</v>
      </c>
      <c r="G36" s="2" t="s">
        <v>396</v>
      </c>
      <c r="H36" s="2">
        <v>122041</v>
      </c>
      <c r="I36" s="2">
        <v>800</v>
      </c>
      <c r="J36" s="2" t="s">
        <v>506</v>
      </c>
      <c r="K36" s="2">
        <v>9</v>
      </c>
      <c r="L36" s="2" t="s">
        <v>230</v>
      </c>
      <c r="M36" s="2" t="s">
        <v>230</v>
      </c>
      <c r="N36" s="2" t="s">
        <v>230</v>
      </c>
      <c r="O36" s="2" t="s">
        <v>373</v>
      </c>
      <c r="P36" s="2">
        <v>1</v>
      </c>
      <c r="R36" s="2" t="s">
        <v>363</v>
      </c>
      <c r="S36" s="2">
        <v>2</v>
      </c>
      <c r="T36" s="2">
        <v>6</v>
      </c>
      <c r="U36" s="2" t="s">
        <v>507</v>
      </c>
      <c r="V36" s="2">
        <v>6</v>
      </c>
      <c r="W36" s="2">
        <v>1</v>
      </c>
      <c r="X36" s="2">
        <v>6</v>
      </c>
      <c r="Y36" s="2">
        <v>1077</v>
      </c>
      <c r="Z36" s="2">
        <v>1858</v>
      </c>
      <c r="AA36" s="2" t="s">
        <v>508</v>
      </c>
      <c r="AB36" s="2" t="s">
        <v>509</v>
      </c>
      <c r="AC36" t="s">
        <v>510</v>
      </c>
      <c r="AD36"/>
      <c r="AE36"/>
      <c r="AF36"/>
      <c r="AG36"/>
      <c r="AH36" s="2" t="s">
        <v>511</v>
      </c>
      <c r="AI36" s="2" t="s">
        <v>512</v>
      </c>
      <c r="AK36" s="2" t="s">
        <v>513</v>
      </c>
      <c r="AM36" t="s">
        <v>323</v>
      </c>
      <c r="AN36" t="s">
        <v>514</v>
      </c>
    </row>
    <row r="37" spans="1:40">
      <c r="A37" s="2" t="s">
        <v>515</v>
      </c>
      <c r="C37" s="2" t="s">
        <v>29</v>
      </c>
      <c r="D37" s="2" t="s">
        <v>516</v>
      </c>
      <c r="E37" s="2" t="s">
        <v>517</v>
      </c>
      <c r="F37" s="2" t="s">
        <v>518</v>
      </c>
      <c r="G37" s="2" t="s">
        <v>396</v>
      </c>
      <c r="H37" s="2">
        <v>58009</v>
      </c>
      <c r="I37" s="2">
        <v>1200</v>
      </c>
      <c r="J37" s="2">
        <v>20</v>
      </c>
      <c r="K37" s="2">
        <v>17</v>
      </c>
      <c r="L37" s="2" t="s">
        <v>461</v>
      </c>
      <c r="M37" s="2">
        <v>1</v>
      </c>
      <c r="N37" s="2">
        <v>6</v>
      </c>
      <c r="O37" s="2" t="s">
        <v>519</v>
      </c>
      <c r="P37" s="2">
        <v>1</v>
      </c>
      <c r="Q37" s="2">
        <v>2</v>
      </c>
      <c r="R37" s="2" t="s">
        <v>520</v>
      </c>
      <c r="S37" s="2">
        <v>2</v>
      </c>
      <c r="T37" s="2">
        <v>5</v>
      </c>
      <c r="U37" s="2">
        <v>4</v>
      </c>
      <c r="V37" s="2">
        <v>10</v>
      </c>
      <c r="W37" s="2">
        <v>2</v>
      </c>
      <c r="X37" s="2">
        <v>3</v>
      </c>
      <c r="Y37" s="2">
        <v>1200</v>
      </c>
      <c r="Z37" s="2">
        <v>1600</v>
      </c>
      <c r="AA37" s="2" t="s">
        <v>521</v>
      </c>
      <c r="AB37" s="2" t="s">
        <v>522</v>
      </c>
      <c r="AC37" t="s">
        <v>523</v>
      </c>
      <c r="AD37"/>
      <c r="AE37"/>
      <c r="AF37"/>
      <c r="AG37"/>
      <c r="AH37" s="5" t="s">
        <v>524</v>
      </c>
      <c r="AI37" s="2" t="s">
        <v>194</v>
      </c>
      <c r="AK37" s="2" t="s">
        <v>525</v>
      </c>
      <c r="AM37" t="s">
        <v>323</v>
      </c>
      <c r="AN37" t="s">
        <v>514</v>
      </c>
    </row>
  </sheetData>
  <mergeCells count="4">
    <mergeCell ref="AQ1:AS1"/>
    <mergeCell ref="AQ2:AS2"/>
    <mergeCell ref="AQ3:AS3"/>
    <mergeCell ref="AQ4:AS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Gastón Montes</dc:creator>
  <cp:keywords/>
  <dc:description/>
  <cp:lastModifiedBy/>
  <cp:revision/>
  <dcterms:created xsi:type="dcterms:W3CDTF">2026-10-04T00:24:45Z</dcterms:created>
  <dcterms:modified xsi:type="dcterms:W3CDTF">2026-10-04T00:28:24Z</dcterms:modified>
  <cp:category/>
  <cp:contentStatus/>
</cp:coreProperties>
</file>