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plantas" sheetId="2" r:id="rId1"/>
    <sheet name="SUR" sheetId="4" r:id="rId2"/>
    <sheet name="CUYO NOA" sheetId="5" r:id="rId3"/>
    <sheet name="CENTRO NEA" sheetId="6" r:id="rId4"/>
    <sheet name="PBA" sheetId="7" r:id="rId5"/>
    <sheet name="Resumen" sheetId="8" r:id="rId6"/>
  </sheets>
  <definedNames>
    <definedName name="_xlnm._FilterDatabase" localSheetId="0" hidden="1">plantas!$A$1:$AK$37</definedName>
    <definedName name="_xlnm._FilterDatabase" localSheetId="1" hidden="1">SUR!$A$21:$Q$82</definedName>
    <definedName name="_xlnm._FilterDatabase" localSheetId="2" hidden="1">'CUYO NOA'!$A$29:$Q$139</definedName>
    <definedName name="_xlnm._FilterDatabase" localSheetId="3" hidden="1">'CENTRO NEA'!$A$26:$Q$181</definedName>
    <definedName name="_xlnm._FilterDatabase" localSheetId="4" hidden="1">PBA!$A$20:$Q$213</definedName>
  </definedNames>
  <calcPr calcId="144525"/>
</workbook>
</file>

<file path=xl/sharedStrings.xml><?xml version="1.0" encoding="utf-8"?>
<sst xmlns="http://schemas.openxmlformats.org/spreadsheetml/2006/main" count="4029" uniqueCount="877">
  <si>
    <t>Cod de Planta</t>
  </si>
  <si>
    <t>Unidad operativa</t>
  </si>
  <si>
    <t>Provincia</t>
  </si>
  <si>
    <t>Ubicación</t>
  </si>
  <si>
    <t>Domicilio</t>
  </si>
  <si>
    <t>Coordenadas</t>
  </si>
  <si>
    <t>Region</t>
  </si>
  <si>
    <t>Unidad de Negocio</t>
  </si>
  <si>
    <t>Metros Cuadrados</t>
  </si>
  <si>
    <t>DOTACION TOTAL</t>
  </si>
  <si>
    <t>DOTACION AUXILIARES</t>
  </si>
  <si>
    <t>FRANJA HORARIA TURNO NOCHE</t>
  </si>
  <si>
    <t>DOTACION JERARQUICO TURNO NOCHE</t>
  </si>
  <si>
    <t>DOTACION AUXILIARES TURNO NOCHE</t>
  </si>
  <si>
    <t>FRANJA HORARIA TURNO MAÑANA</t>
  </si>
  <si>
    <t>DOTACION JERARQUICO TURNO MAÑANA</t>
  </si>
  <si>
    <t>DOTACION AUXILIARES TURNO MAÑANA</t>
  </si>
  <si>
    <t>FRANJA HORARIA TURNO TARDE</t>
  </si>
  <si>
    <t>DOTACION JERARQUICO TURNO TARDE</t>
  </si>
  <si>
    <t>DOTACION AUXILIARES TURNO TARDE</t>
  </si>
  <si>
    <t>Proceso CDP</t>
  </si>
  <si>
    <t>Proceso CTP</t>
  </si>
  <si>
    <t>Proceso Pta Pta</t>
  </si>
  <si>
    <t>Proceso Clasificacion</t>
  </si>
  <si>
    <t>Volumenes de Venta</t>
  </si>
  <si>
    <t>Volumenes de Jurisdiccion</t>
  </si>
  <si>
    <t>Jefe de Planta</t>
  </si>
  <si>
    <t>Jefe de Nodo</t>
  </si>
  <si>
    <t>PLANOS</t>
  </si>
  <si>
    <t>es alquilada</t>
  </si>
  <si>
    <t>gasto vigilancia</t>
  </si>
  <si>
    <t>gasto limpieza</t>
  </si>
  <si>
    <t>gasto operativo</t>
  </si>
  <si>
    <t>MTS2</t>
  </si>
  <si>
    <t>TIPO</t>
  </si>
  <si>
    <t>ADICIONAL</t>
  </si>
  <si>
    <t>MEDIDAS DE SEGURIDAD / OBSERVACIONES</t>
  </si>
  <si>
    <t>C12</t>
  </si>
  <si>
    <t>CLOG NEUQUEN</t>
  </si>
  <si>
    <t>Neuquen</t>
  </si>
  <si>
    <t>Obrero Argentino 86 - (Q8300ZAA) – Neuquén Capital</t>
  </si>
  <si>
    <t>-38.965924,-68.0509834</t>
  </si>
  <si>
    <t>SUR</t>
  </si>
  <si>
    <t>21:00 a 04:12</t>
  </si>
  <si>
    <t>05:00:00 12:12</t>
  </si>
  <si>
    <t>15:00 a 22:42</t>
  </si>
  <si>
    <t>Miñana Jorge</t>
  </si>
  <si>
    <t>NESTOR TRIVIÑO</t>
  </si>
  <si>
    <t>Neuquén-Plano (1).jpg</t>
  </si>
  <si>
    <t>CRD</t>
  </si>
  <si>
    <t>CTP COM. RIVADAVIA</t>
  </si>
  <si>
    <t>CHUBUT</t>
  </si>
  <si>
    <t>COMODORO RIVADAVIA</t>
  </si>
  <si>
    <t>AV. SAN MARTIN N° 180  (U9000ZAA)-COM.RIVADAVIA-CHUBUT</t>
  </si>
  <si>
    <t>-45.861187,-67.4767167</t>
  </si>
  <si>
    <t>00:00 a 07:42</t>
  </si>
  <si>
    <t>05:00 a 13:30</t>
  </si>
  <si>
    <t>13:00 a 21:12</t>
  </si>
  <si>
    <t>FABIAN ARIAS</t>
  </si>
  <si>
    <t>MACARENA VERA</t>
  </si>
  <si>
    <t>REL</t>
  </si>
  <si>
    <t>CTP TRELEW</t>
  </si>
  <si>
    <t>TRELEW</t>
  </si>
  <si>
    <t>Irigoyen 2811 - U9102BHU - Chubut - Argentina</t>
  </si>
  <si>
    <t>-43.2721798,-65.2797974</t>
  </si>
  <si>
    <t>no hay</t>
  </si>
  <si>
    <t>05:00 a 12:42</t>
  </si>
  <si>
    <t>13:30 a 21:12</t>
  </si>
  <si>
    <t>RINOLFI LUCAS</t>
  </si>
  <si>
    <t>VICTOR RUIZ</t>
  </si>
  <si>
    <t>Trelew-Ubicación Manzana.jpg</t>
  </si>
  <si>
    <t>C15</t>
  </si>
  <si>
    <t>CLOG RIO GALLEGOS</t>
  </si>
  <si>
    <t>Santa Cruz</t>
  </si>
  <si>
    <t>Rio Gallegos</t>
  </si>
  <si>
    <t>Ruta Nacional Nro.3 Km 2603 - Z9403GPA - Río Gallegos S.C. -</t>
  </si>
  <si>
    <t>-51.618225,-69.292593</t>
  </si>
  <si>
    <t>20:18 a 04:00</t>
  </si>
  <si>
    <t>14::00 a 21:12</t>
  </si>
  <si>
    <t>HORACIO RODRIGUEZ</t>
  </si>
  <si>
    <t>MICAELA CRUCES</t>
  </si>
  <si>
    <t>Río Gallegos-Plano.jpg</t>
  </si>
  <si>
    <t>BRC</t>
  </si>
  <si>
    <t>CTP BARILOCHE</t>
  </si>
  <si>
    <t>Rio Negro</t>
  </si>
  <si>
    <t>S.C. de Bariloche</t>
  </si>
  <si>
    <t>Rivadavia 830- S. C. de Bariloche (Q8400ZAA) - Rio Negro</t>
  </si>
  <si>
    <t>-41.1422742,-71.2926754</t>
  </si>
  <si>
    <t>06:00 a 13:12</t>
  </si>
  <si>
    <t>13:00:00 a 20:12</t>
  </si>
  <si>
    <t>FABIAN MEYER</t>
  </si>
  <si>
    <t>ROBERTO SIMBERO</t>
  </si>
  <si>
    <t>Bariloche-Plano.jpg</t>
  </si>
  <si>
    <t>VAE</t>
  </si>
  <si>
    <t>USHUAIA</t>
  </si>
  <si>
    <t>Tierra del Fuego</t>
  </si>
  <si>
    <t>Ushuaia</t>
  </si>
  <si>
    <t>Av. Gral. San Martín 309</t>
  </si>
  <si>
    <t>-54.8057983,-68.3025219</t>
  </si>
  <si>
    <t>05:00 a 12:12</t>
  </si>
  <si>
    <t>10:30 a 18:12</t>
  </si>
  <si>
    <t>RGA</t>
  </si>
  <si>
    <t>RIO GRANDE</t>
  </si>
  <si>
    <t>Rio Grande</t>
  </si>
  <si>
    <t>Rivadavia 968</t>
  </si>
  <si>
    <t>-53.7888536,-67.7038012</t>
  </si>
  <si>
    <t>12:00 a 19:45</t>
  </si>
  <si>
    <t>C14</t>
  </si>
  <si>
    <t>CLOG LA PLATA</t>
  </si>
  <si>
    <t>BUENOS AIRES</t>
  </si>
  <si>
    <t>LA PLATA</t>
  </si>
  <si>
    <t>CALLE 510 N° 2247</t>
  </si>
  <si>
    <t>-34.9151298,-58.0065907</t>
  </si>
  <si>
    <t>PBA / LA PAMPA</t>
  </si>
  <si>
    <t>no</t>
  </si>
  <si>
    <t>03:00 a 13:12</t>
  </si>
  <si>
    <t>13:00 a 24:00</t>
  </si>
  <si>
    <t>MUGUERZA PABLO</t>
  </si>
  <si>
    <t>DOMINGUEZ DANIEL</t>
  </si>
  <si>
    <t>La Plata-Plano 1.pdf</t>
  </si>
  <si>
    <t>130 POSICIONES DE RACKS</t>
  </si>
  <si>
    <t>SIN CAMARAS</t>
  </si>
  <si>
    <t>CL4</t>
  </si>
  <si>
    <t>CLOG BAHIA BLANCA</t>
  </si>
  <si>
    <t>BAHIA BLANCA</t>
  </si>
  <si>
    <t>DON BOSCO 3008</t>
  </si>
  <si>
    <t>-38.7121869,-62.3296128</t>
  </si>
  <si>
    <t>19:00 a 02:12</t>
  </si>
  <si>
    <t>04:00 a 11:12</t>
  </si>
  <si>
    <t>13:00 a 20:12</t>
  </si>
  <si>
    <t>ALEJANDRO VILAR</t>
  </si>
  <si>
    <t>MATTIOLI FABIAN</t>
  </si>
  <si>
    <t>Bahía Blanca-Plano.jpg</t>
  </si>
  <si>
    <t>A PISO</t>
  </si>
  <si>
    <t>SIN REJAS - SIN CAMARAS</t>
  </si>
  <si>
    <t>CL3</t>
  </si>
  <si>
    <t>CLOG MAR DEL PLATA</t>
  </si>
  <si>
    <t>MAR DEL PLATA</t>
  </si>
  <si>
    <t>Av Champagnat 1120/1150.</t>
  </si>
  <si>
    <t>-37.9650347,-57.5776538</t>
  </si>
  <si>
    <t>16:30/23:42</t>
  </si>
  <si>
    <t>04:00/11:12</t>
  </si>
  <si>
    <t>09:30/16:42</t>
  </si>
  <si>
    <t>PILLADO SEBASTIAN</t>
  </si>
  <si>
    <t>REPETTI CARLOS</t>
  </si>
  <si>
    <t>Mar del Plata-Plano.jpg</t>
  </si>
  <si>
    <t>18 POSICIONES RACKS</t>
  </si>
  <si>
    <t>SIN CAMARAS / CON VIGILANCIA</t>
  </si>
  <si>
    <t>MER</t>
  </si>
  <si>
    <t>CTP MERCEDES</t>
  </si>
  <si>
    <t>MERCEDES</t>
  </si>
  <si>
    <t>RUTA NACIONAL 5 KM 93,5</t>
  </si>
  <si>
    <t>-34.6587116,-59.3705243</t>
  </si>
  <si>
    <t>23:00 A 06:12</t>
  </si>
  <si>
    <t>08:30 A 15:42</t>
  </si>
  <si>
    <t>16:00 A 23:12</t>
  </si>
  <si>
    <t>5 (compartido con ptapta)</t>
  </si>
  <si>
    <t>5 (compartido con CTP)</t>
  </si>
  <si>
    <t>WALTER PERRUELO</t>
  </si>
  <si>
    <t>MOUTIER GUSTAVO</t>
  </si>
  <si>
    <t>Mercedes -Croquis.jpg</t>
  </si>
  <si>
    <t>RACK</t>
  </si>
  <si>
    <t>CAMARAS Y PERSONAL DE SEGURIDAD PRIVADA</t>
  </si>
  <si>
    <t>PER</t>
  </si>
  <si>
    <t>CTP PERGAMINO</t>
  </si>
  <si>
    <t>PERGAMINO</t>
  </si>
  <si>
    <t>ECHEVARRIA 737</t>
  </si>
  <si>
    <t>-33.8906562,-60.572839</t>
  </si>
  <si>
    <t>15:30 a 23:00</t>
  </si>
  <si>
    <t>06:00 a 13:42</t>
  </si>
  <si>
    <t>NANCY DIGUERO</t>
  </si>
  <si>
    <t>MAIDANA FEDERICO</t>
  </si>
  <si>
    <t>PALLETS AL PISO</t>
  </si>
  <si>
    <t>ENRREJADO Y CAMARAS</t>
  </si>
  <si>
    <t>RSA</t>
  </si>
  <si>
    <t>CTP SANTA ROSA</t>
  </si>
  <si>
    <t>LA PAMPA</t>
  </si>
  <si>
    <t>SANTA ROSA</t>
  </si>
  <si>
    <t>RIVADAVIA 202</t>
  </si>
  <si>
    <t>-36.6189544,-64.287404</t>
  </si>
  <si>
    <t>NO TIENE</t>
  </si>
  <si>
    <t>07:00 A 14:42</t>
  </si>
  <si>
    <t>13:00 A 20:42</t>
  </si>
  <si>
    <t>2 (Compartido)</t>
  </si>
  <si>
    <t>2 (compartido)</t>
  </si>
  <si>
    <t>ARIEL BRUNELLO</t>
  </si>
  <si>
    <t>IARLORI SEBASTIAN</t>
  </si>
  <si>
    <t>SIN ESPACIO DISPONIBLE</t>
  </si>
  <si>
    <t>DP2</t>
  </si>
  <si>
    <t>CDP CABA SUR</t>
  </si>
  <si>
    <t>CAPITAL FEDERAL</t>
  </si>
  <si>
    <t>José Aarón Salmún Feijoo 555/47</t>
  </si>
  <si>
    <t>-34.639133,-58.3789432</t>
  </si>
  <si>
    <t>METROPOLITANA</t>
  </si>
  <si>
    <t>22:48 a 06:00hs</t>
  </si>
  <si>
    <t>06:00 a 13:12hs</t>
  </si>
  <si>
    <t>16:42 a 00:00hs</t>
  </si>
  <si>
    <t>Salazar Alan</t>
  </si>
  <si>
    <t>Adrián Gonzalez</t>
  </si>
  <si>
    <t>CPD SUR Barracas (1).pdf</t>
  </si>
  <si>
    <t>DP3</t>
  </si>
  <si>
    <t>CENTRO PAQUETERIA QUILMES</t>
  </si>
  <si>
    <t>Buenos Aires</t>
  </si>
  <si>
    <t>Quilmes Oeste-Bs.As</t>
  </si>
  <si>
    <t>Martin Rodriguez 199 (UF15)</t>
  </si>
  <si>
    <t>-34.7139416,-58.4939291</t>
  </si>
  <si>
    <t>23:00 a 06:12hs</t>
  </si>
  <si>
    <t>05:00 a 13:12hs</t>
  </si>
  <si>
    <t>14:48 a 00:00hs</t>
  </si>
  <si>
    <t>Cristian Valenzuela</t>
  </si>
  <si>
    <t>Julian Della villa</t>
  </si>
  <si>
    <t>CDP LA BERNALESA (1).pdf</t>
  </si>
  <si>
    <t>DP4</t>
  </si>
  <si>
    <t>CDP MERCADO CENTRAL</t>
  </si>
  <si>
    <t>LA MATANZA - TAPIALES</t>
  </si>
  <si>
    <t>DE LA LOMA 251</t>
  </si>
  <si>
    <t>-34.6304111,-58.7644768</t>
  </si>
  <si>
    <t>22:00 a 05:42hs / 23:00 a 06:12hs</t>
  </si>
  <si>
    <t>05:00 a 12: 42hs / 06:00 a 13:42hs / 07:00 a 14:42hs</t>
  </si>
  <si>
    <t xml:space="preserve">12: 48 a 20hs / 13:48  a 21:00hs / 14:48 a 22:00hs </t>
  </si>
  <si>
    <t>ARIEL CASTRO</t>
  </si>
  <si>
    <t>ARIEL GOMEZ</t>
  </si>
  <si>
    <t>Mercado Cental-Model.pdf</t>
  </si>
  <si>
    <t>DP5</t>
  </si>
  <si>
    <t>CENTRO PAQUETERIA MORENO</t>
  </si>
  <si>
    <t>Moreno- Bs.As</t>
  </si>
  <si>
    <t>GRAHAM BELL Y COLECTORA ACCESO OESTE</t>
  </si>
  <si>
    <t>-34.5179159,-58.5133463</t>
  </si>
  <si>
    <t>22:00 a 05:12hs</t>
  </si>
  <si>
    <t>05:00 a 12:12hs</t>
  </si>
  <si>
    <t>12:30 a 20:12hs / 14:48 a 22:00hs / 16:48 a 00:00hs</t>
  </si>
  <si>
    <t>RODRIGUEZ MAXIMILIANO</t>
  </si>
  <si>
    <t>LIONIL ALFREDO</t>
  </si>
  <si>
    <t>EASY Moreno (1).pdf</t>
  </si>
  <si>
    <t>DP6</t>
  </si>
  <si>
    <t>PAQUETERIA VICENTE LOPEZ</t>
  </si>
  <si>
    <t>Olivos - Bs. As.</t>
  </si>
  <si>
    <t>Pelliza 3750</t>
  </si>
  <si>
    <t>-34.7226221,-58.2823639</t>
  </si>
  <si>
    <t>14.00 a 00.00hs</t>
  </si>
  <si>
    <t>Pablo Giménez Espeche</t>
  </si>
  <si>
    <t>Daniel Lovera</t>
  </si>
  <si>
    <t>CDP Vicente Lopez (1).pdf</t>
  </si>
  <si>
    <t>CL6</t>
  </si>
  <si>
    <t>CLOG MENDOZA</t>
  </si>
  <si>
    <t>MENDOZA</t>
  </si>
  <si>
    <t>Coquimbito - MaIpu</t>
  </si>
  <si>
    <t xml:space="preserve">RODRIGUEZ PEÑA 3167 </t>
  </si>
  <si>
    <t>-32.9394438,-68.7674755</t>
  </si>
  <si>
    <t>CUYO - NOA</t>
  </si>
  <si>
    <t>22:30 a 06:00</t>
  </si>
  <si>
    <t>06:00 a 15:12</t>
  </si>
  <si>
    <t>15:30 a 00:42</t>
  </si>
  <si>
    <t>incluido en dotacion CTP</t>
  </si>
  <si>
    <t>ZARATE RICARDO</t>
  </si>
  <si>
    <t>SANJURJO MARCELO</t>
  </si>
  <si>
    <t>MENDOZA.pdf</t>
  </si>
  <si>
    <t>UAQ</t>
  </si>
  <si>
    <t>CTP SAN JUAN</t>
  </si>
  <si>
    <t>SAN JUAN</t>
  </si>
  <si>
    <t>CIUDAD</t>
  </si>
  <si>
    <t>IGNACIO DE LA ROSA 223 Este</t>
  </si>
  <si>
    <t>-31.537304, -68.522559</t>
  </si>
  <si>
    <t>no posee</t>
  </si>
  <si>
    <t>05:00 a 13:12</t>
  </si>
  <si>
    <t>11:30 a 19:12</t>
  </si>
  <si>
    <t>BRUNORI GASTON</t>
  </si>
  <si>
    <t xml:space="preserve">BALMACEDA </t>
  </si>
  <si>
    <t>LUQ</t>
  </si>
  <si>
    <t>CTP SAN LUIS</t>
  </si>
  <si>
    <t>SAN LUIS</t>
  </si>
  <si>
    <t>Parque Industrial Norte</t>
  </si>
  <si>
    <t>CALLE 107 entre 1 y 3</t>
  </si>
  <si>
    <t>-33.316819,-66.3670048</t>
  </si>
  <si>
    <t>21:30 a 05:12</t>
  </si>
  <si>
    <t>05:00 A 12:12</t>
  </si>
  <si>
    <t>12:00 a 23:12</t>
  </si>
  <si>
    <t>incluido en dotacion Clog</t>
  </si>
  <si>
    <t>FLORES RUBEN</t>
  </si>
  <si>
    <t>CORREA CARLOS</t>
  </si>
  <si>
    <t>San Luis-Plano.jpg</t>
  </si>
  <si>
    <t>CTC</t>
  </si>
  <si>
    <t>CTP CATAMARCA</t>
  </si>
  <si>
    <t>CATAMARCA</t>
  </si>
  <si>
    <t>catamarca capital</t>
  </si>
  <si>
    <t>SAN MARTIN 76</t>
  </si>
  <si>
    <t>-28.4694474,-65.7761198</t>
  </si>
  <si>
    <t>3:00 A 10:42</t>
  </si>
  <si>
    <t>08:00 A 15:42</t>
  </si>
  <si>
    <t>14:42 A 20:00</t>
  </si>
  <si>
    <t>MOLINA LUIS</t>
  </si>
  <si>
    <t>JOSE ALVAREZ</t>
  </si>
  <si>
    <t>CL8</t>
  </si>
  <si>
    <t>CLOG LA RIOJA</t>
  </si>
  <si>
    <t>LA RIOJA</t>
  </si>
  <si>
    <t>La Rioja capital</t>
  </si>
  <si>
    <t>PERON 258</t>
  </si>
  <si>
    <t>-29.429071, -66.860352</t>
  </si>
  <si>
    <t>22:00 a 05:12</t>
  </si>
  <si>
    <t>05:00 A 15:42</t>
  </si>
  <si>
    <t>FERNANDEZ ALEJANDRO</t>
  </si>
  <si>
    <t>ACEVEDO NICOLAS</t>
  </si>
  <si>
    <t>LA RIOJA.pdf</t>
  </si>
  <si>
    <t>JUJ</t>
  </si>
  <si>
    <t>CTP JUJUY</t>
  </si>
  <si>
    <t>JUJUY</t>
  </si>
  <si>
    <t>Barrio Cnel Arias</t>
  </si>
  <si>
    <t>guayaquil 121</t>
  </si>
  <si>
    <t>-24.2115355,-65.2840565</t>
  </si>
  <si>
    <t>22:22 A 5:42</t>
  </si>
  <si>
    <t>04:30 A 16:12</t>
  </si>
  <si>
    <t>13:00 A 23:12</t>
  </si>
  <si>
    <t>PEÑALOZA MIGUEL</t>
  </si>
  <si>
    <t>LUNA FEDERICO</t>
  </si>
  <si>
    <t>Jujuy-Plano 2.pdf</t>
  </si>
  <si>
    <t>CL5</t>
  </si>
  <si>
    <t>CLOG SALTA</t>
  </si>
  <si>
    <t>SALTA</t>
  </si>
  <si>
    <t>Gral. Alvarado</t>
  </si>
  <si>
    <t>Avda. Kennedy - Ruta 51 km 2,5</t>
  </si>
  <si>
    <t>-24.8383304,-65.4543066</t>
  </si>
  <si>
    <t>20:00 s 5:42</t>
  </si>
  <si>
    <t>06:00 A 15:42</t>
  </si>
  <si>
    <t>14:30 A 21:42</t>
  </si>
  <si>
    <t>LEYES JUAN PABLO</t>
  </si>
  <si>
    <t>ROJAS JOSE</t>
  </si>
  <si>
    <t>SALTA.pdf</t>
  </si>
  <si>
    <t>C11</t>
  </si>
  <si>
    <t>CLOG SANTIAGO DEL ESTERO</t>
  </si>
  <si>
    <t>SANTIAGO DEL ESTERO</t>
  </si>
  <si>
    <t>Almirante Brown</t>
  </si>
  <si>
    <t>INDEPENDENCIA N° 3853</t>
  </si>
  <si>
    <t>-27.8268847,-64.2346452</t>
  </si>
  <si>
    <t>19:00 A 02:12</t>
  </si>
  <si>
    <t>05:00 A 12:42</t>
  </si>
  <si>
    <t>12:00 A 19:42</t>
  </si>
  <si>
    <t>CHAVEZ JUAN</t>
  </si>
  <si>
    <t>ALEJANDRO ALTAMIRANDA</t>
  </si>
  <si>
    <t>SANTIAGO DEL ESTERO.pdf</t>
  </si>
  <si>
    <t>C10</t>
  </si>
  <si>
    <t>CLOG TUCUMAN</t>
  </si>
  <si>
    <t>TUCUMAN</t>
  </si>
  <si>
    <t>Las Talitas</t>
  </si>
  <si>
    <t>calle1 V MM</t>
  </si>
  <si>
    <t>-26.7835433,-65.190047</t>
  </si>
  <si>
    <t>23:00 A  06:42</t>
  </si>
  <si>
    <t>5:00 A 14:30</t>
  </si>
  <si>
    <t>14:00 A 21:42</t>
  </si>
  <si>
    <t>ACOSTA RICARDO</t>
  </si>
  <si>
    <t>BARRAZA DANIEL</t>
  </si>
  <si>
    <t>Tucumán-Plano.jpg</t>
  </si>
  <si>
    <t>ROL</t>
  </si>
  <si>
    <t>CLOG ROSARIO</t>
  </si>
  <si>
    <t>Santa Fe</t>
  </si>
  <si>
    <t>Rosario</t>
  </si>
  <si>
    <t>Santiago 3670</t>
  </si>
  <si>
    <t>-32.9986189,-60.6949678</t>
  </si>
  <si>
    <t>CENTRO - NEA</t>
  </si>
  <si>
    <t>00:00 a 07:00</t>
  </si>
  <si>
    <t>07:00 a 16:00</t>
  </si>
  <si>
    <t>16:00 a 00:00</t>
  </si>
  <si>
    <t>Diego Rodolfo Gómez</t>
  </si>
  <si>
    <t>Jorge Arguelles</t>
  </si>
  <si>
    <t>4.5 m2 (3 posiciones de racks)</t>
  </si>
  <si>
    <t>en altura rackeados</t>
  </si>
  <si>
    <t>no cuenta con rejas, ni cámaras</t>
  </si>
  <si>
    <t>CL9</t>
  </si>
  <si>
    <t>CLOG SANTA FE</t>
  </si>
  <si>
    <t>A. del Valle 10627</t>
  </si>
  <si>
    <t>-31.6847091,-60.7902635</t>
  </si>
  <si>
    <t>19:00 a 07:12</t>
  </si>
  <si>
    <t>06:00 a 16:42</t>
  </si>
  <si>
    <t>13:00 a 00:12</t>
  </si>
  <si>
    <t>Diego Bravo</t>
  </si>
  <si>
    <t>Sandra Cejas</t>
  </si>
  <si>
    <t>Santa Fe-Plano (1).jpg</t>
  </si>
  <si>
    <t>25m2 disponibles en el sector de ingreso próximo a la oficina de PAS. 70m2 solo a disposición en los casos que se continue con el retiro de lo procesado en la fecha</t>
  </si>
  <si>
    <t>Racks en el sector de almacén con 96 posiciones disponibles. Pallet a piso en los 25m2 disponibles</t>
  </si>
  <si>
    <t>Cámaras sin monitoreo, Matafuegos, y Sistema contra incendio</t>
  </si>
  <si>
    <t>C13</t>
  </si>
  <si>
    <t>CLOG POSADAS</t>
  </si>
  <si>
    <t>MISIONES</t>
  </si>
  <si>
    <t>Posadas</t>
  </si>
  <si>
    <t>AV.ANDRESITO 3379</t>
  </si>
  <si>
    <t>-27.3965033,-55.9135819</t>
  </si>
  <si>
    <t>17:00 a 00:40</t>
  </si>
  <si>
    <t>004:00 a 12:40</t>
  </si>
  <si>
    <t>14:00 a 21:40</t>
  </si>
  <si>
    <t>1500 a 2400</t>
  </si>
  <si>
    <t>1000 a 2000</t>
  </si>
  <si>
    <t>RUIZDIAZ PEDRO</t>
  </si>
  <si>
    <t>KUASNISKI LEONARDO</t>
  </si>
  <si>
    <t>Posadas-Plano.jpg</t>
  </si>
  <si>
    <t>300 MTS</t>
  </si>
  <si>
    <t>racks para 8 pallet     pallet en piso 30</t>
  </si>
  <si>
    <t>portones de hierro con candados. Guardia privada las 24hs y policia de las 20:00 a 08:00 entre semana y finde semana y fariado las 24hs. No posee cámaras de seguridad como así tampoco rejas</t>
  </si>
  <si>
    <t>NCQ</t>
  </si>
  <si>
    <t>CLOG CORRIENTES</t>
  </si>
  <si>
    <t>Corrientes</t>
  </si>
  <si>
    <t>Ruta Nac. 12 KM 1027</t>
  </si>
  <si>
    <t>-27.5058404,-58.7739109</t>
  </si>
  <si>
    <t>20:30 a 06:12</t>
  </si>
  <si>
    <t>06:00 a 16:12</t>
  </si>
  <si>
    <t>12:30 a 22:12</t>
  </si>
  <si>
    <t>1500 a 1800</t>
  </si>
  <si>
    <t>5000 a 8000</t>
  </si>
  <si>
    <t>Lencina Pisarello Agustin (I)</t>
  </si>
  <si>
    <t>Morales Juan Manuel</t>
  </si>
  <si>
    <t>Corrientes-Plano.jpg</t>
  </si>
  <si>
    <t>550 m2</t>
  </si>
  <si>
    <t>Pallets al piso</t>
  </si>
  <si>
    <t>Cámaras de seguridad con monitoreo permanente</t>
  </si>
  <si>
    <t>CL7</t>
  </si>
  <si>
    <t>CLOG CORDOBA</t>
  </si>
  <si>
    <t>CORDOBA</t>
  </si>
  <si>
    <t>Cordoba</t>
  </si>
  <si>
    <t>Av. Agustín Tosco 2750</t>
  </si>
  <si>
    <t>-31.4716247,-64.1601023</t>
  </si>
  <si>
    <t>00:00 a 07:12</t>
  </si>
  <si>
    <t>07:00 a 17:12</t>
  </si>
  <si>
    <t>16:00 a 23:12</t>
  </si>
  <si>
    <t>BELLANDO MARCELO</t>
  </si>
  <si>
    <t>FERNANDO MALDONADO</t>
  </si>
  <si>
    <t>Córdoba-Plano.jpg</t>
  </si>
  <si>
    <t>1030 m2</t>
  </si>
  <si>
    <t>racks 3 niveles</t>
  </si>
  <si>
    <t>600 posiciones. el 100% ocupado por CLARO</t>
  </si>
  <si>
    <t>No se cuenta con rejas, hay cámaras que cubren la mayoría de los pasillos. No hay sistema de stock.</t>
  </si>
  <si>
    <t>NIJ</t>
  </si>
  <si>
    <t>CLOG PARANA</t>
  </si>
  <si>
    <t>Entre Rios</t>
  </si>
  <si>
    <t>Parana</t>
  </si>
  <si>
    <t>Blas Parera 1115</t>
  </si>
  <si>
    <t>-31.7422813,-60.4943971</t>
  </si>
  <si>
    <t>22:00 a 06:30</t>
  </si>
  <si>
    <t>6:30 a 15:30</t>
  </si>
  <si>
    <t>12:00 a 22:15</t>
  </si>
  <si>
    <t>Esquivel Luciano</t>
  </si>
  <si>
    <t>Visciconti Alfredo</t>
  </si>
  <si>
    <t>Paraná-Plano 2.pdf</t>
  </si>
  <si>
    <t>200 m2</t>
  </si>
  <si>
    <t>Pallets en piso</t>
  </si>
  <si>
    <t>Cámaras; no hay rejas de separación de sectores</t>
  </si>
  <si>
    <t>RPQ</t>
  </si>
  <si>
    <t>CLOG RESISTENCIA</t>
  </si>
  <si>
    <t>CHACO</t>
  </si>
  <si>
    <t>Resistencia</t>
  </si>
  <si>
    <t>RN16 KM 15.3</t>
  </si>
  <si>
    <t>-27.4097866,-58.9797857</t>
  </si>
  <si>
    <t>20:00 a 03:12</t>
  </si>
  <si>
    <t>14:00 a 21:12</t>
  </si>
  <si>
    <t>GARAY DIEGO</t>
  </si>
  <si>
    <t>GARAY RICARDO</t>
  </si>
  <si>
    <t>Resistencia-Plano ampliación (1).pdf</t>
  </si>
  <si>
    <t>9 m2</t>
  </si>
  <si>
    <t>Camara de seguridad, monitoreadas desde CTP BUE</t>
  </si>
  <si>
    <t>VMR</t>
  </si>
  <si>
    <t>CT VILLA MARIA</t>
  </si>
  <si>
    <t>Villa Maria</t>
  </si>
  <si>
    <t>INT MACIEL 901 ESQ TT. IBAÑEZ</t>
  </si>
  <si>
    <t>-32.3941616,-63.2386124</t>
  </si>
  <si>
    <t>NO</t>
  </si>
  <si>
    <t>BORDINI RODOLFO</t>
  </si>
  <si>
    <t>DARDANO JUAN</t>
  </si>
  <si>
    <t>Villa María-Plano 1.pdf</t>
  </si>
  <si>
    <t>16 M2</t>
  </si>
  <si>
    <t>PISO</t>
  </si>
  <si>
    <t>CAMARA Y CUSTODIA POLICIAL LAS 24:00 HS</t>
  </si>
  <si>
    <t>RCU</t>
  </si>
  <si>
    <t>CT RIO CUARTO</t>
  </si>
  <si>
    <t>Rio Cuarto</t>
  </si>
  <si>
    <t>Arturo M. Bas 2389</t>
  </si>
  <si>
    <t>-33.1223883,-64.3816389</t>
  </si>
  <si>
    <t>15:00 a 00:12</t>
  </si>
  <si>
    <t>GUILLERMO MOJICA</t>
  </si>
  <si>
    <t>LEONARDO PANOTTO</t>
  </si>
  <si>
    <t>Río Cuarto-Plano 1.jpg</t>
  </si>
  <si>
    <t>81 m2</t>
  </si>
  <si>
    <t>seguridad privada dentro de la planta durante el día, luego durante tarde noche hay 2 de seguridad tanto privada como Policial en el horario nocturno de 19 a 07:00 hs de lunes a lunes, cámaras de seguridad (2) que las mismas nosotros no tenemos acceso</t>
  </si>
  <si>
    <t>Dotacion actual</t>
  </si>
  <si>
    <t>Region SUR</t>
  </si>
  <si>
    <t>Dotacion total</t>
  </si>
  <si>
    <t xml:space="preserve"> Auxiliares operativos</t>
  </si>
  <si>
    <t>Auxiliares turno noche</t>
  </si>
  <si>
    <t>Auxiliares turno mañana</t>
  </si>
  <si>
    <t>Auxiliares turno tarde</t>
  </si>
  <si>
    <t>Personal para manipular paquetes</t>
  </si>
  <si>
    <t>Personal para recepcion/expedicion transporte</t>
  </si>
  <si>
    <t>Personal a reubicar</t>
  </si>
  <si>
    <t>Personal para manipular paquetes + 10% ausentismo</t>
  </si>
  <si>
    <t>Total</t>
  </si>
  <si>
    <t>Detalle ingreso de envios</t>
  </si>
  <si>
    <t>impo mensual</t>
  </si>
  <si>
    <t>impo mensual Maquinable</t>
  </si>
  <si>
    <t>impo mensual no maquinable</t>
  </si>
  <si>
    <t>Ingreso mensual ultima milla</t>
  </si>
  <si>
    <t>Ingreso promedio diario maquinable</t>
  </si>
  <si>
    <t>Ingreso promedio diario no maquinable</t>
  </si>
  <si>
    <t>Ingreso promedio diario Ultm. milla</t>
  </si>
  <si>
    <t>DETALLE TRANSPORTE POR REGION</t>
  </si>
  <si>
    <t>Codigo de planta</t>
  </si>
  <si>
    <t>Tipo servicio</t>
  </si>
  <si>
    <t>LINEA</t>
  </si>
  <si>
    <t>FRECUENCIA</t>
  </si>
  <si>
    <t>Entrega</t>
  </si>
  <si>
    <t>Recibe</t>
  </si>
  <si>
    <t>Horario estimado llegada</t>
  </si>
  <si>
    <t>Horario estimado salida</t>
  </si>
  <si>
    <t>Tiempo estimado operacion</t>
  </si>
  <si>
    <t>Turno operativo</t>
  </si>
  <si>
    <t>Tiempo recorrido</t>
  </si>
  <si>
    <t>Distancia KM</t>
  </si>
  <si>
    <t>Total KM acumulados</t>
  </si>
  <si>
    <t>Dependencia</t>
  </si>
  <si>
    <t>Capacidad bodega transporte</t>
  </si>
  <si>
    <t>ADIC</t>
  </si>
  <si>
    <t>ADIC 01 BHI-NQN</t>
  </si>
  <si>
    <t>MARTES JUEVES Y SABADO</t>
  </si>
  <si>
    <t>Mañana</t>
  </si>
  <si>
    <t>CENTRO LOGISTICO NEUQUEN</t>
  </si>
  <si>
    <t>NEUQUEN</t>
  </si>
  <si>
    <t>12 TON</t>
  </si>
  <si>
    <t>Noche</t>
  </si>
  <si>
    <t>ADIC 01 BHI-REL</t>
  </si>
  <si>
    <t>TRELEW DEPOSITO</t>
  </si>
  <si>
    <t>7,5 TON</t>
  </si>
  <si>
    <t>NQN</t>
  </si>
  <si>
    <t>LGI</t>
  </si>
  <si>
    <t>T200</t>
  </si>
  <si>
    <t>LUNES A VIERNES</t>
  </si>
  <si>
    <t>R</t>
  </si>
  <si>
    <t>0,5 TON</t>
  </si>
  <si>
    <t>CUT</t>
  </si>
  <si>
    <t>Cutral Co -Suc 386 Galicia</t>
  </si>
  <si>
    <t>CUTRAL-CO</t>
  </si>
  <si>
    <t>E</t>
  </si>
  <si>
    <t>Tarde</t>
  </si>
  <si>
    <t>T201</t>
  </si>
  <si>
    <t>QBC</t>
  </si>
  <si>
    <t>Añelo -Suc 390 Galicia</t>
  </si>
  <si>
    <t>AÑELO</t>
  </si>
  <si>
    <t>T202</t>
  </si>
  <si>
    <t>QBB</t>
  </si>
  <si>
    <t>Suc 349 Galicia (Cipolletti)</t>
  </si>
  <si>
    <t>CIPOLLETTI</t>
  </si>
  <si>
    <t>GNR</t>
  </si>
  <si>
    <t>Suc 254 Galicia (G. Roca)</t>
  </si>
  <si>
    <t>GENERAL ROCA</t>
  </si>
  <si>
    <t>T203 IDA</t>
  </si>
  <si>
    <t>UCW</t>
  </si>
  <si>
    <t>PUERTO MADRYN</t>
  </si>
  <si>
    <t>PTO. MADRYN (CHT)</t>
  </si>
  <si>
    <t>Suc 256 Galicia (Pto. Madryn)</t>
  </si>
  <si>
    <t>T203 VTA</t>
  </si>
  <si>
    <t>RGL</t>
  </si>
  <si>
    <t>LTC</t>
  </si>
  <si>
    <t>LTC19(IDA) CRD a RGL SIN</t>
  </si>
  <si>
    <t>RIO GALLEGOS (CTP)</t>
  </si>
  <si>
    <t>SANTA CRUZ</t>
  </si>
  <si>
    <t>C. RIVADAVIA (CTP)</t>
  </si>
  <si>
    <t>LTC22 (IDA Y VTA)</t>
  </si>
  <si>
    <t>LUNES A SABADOS</t>
  </si>
  <si>
    <t>R. GALLEGOS (depositos S. Roque) y salida aduana</t>
  </si>
  <si>
    <t>RIO GRANDE (Para liberar)</t>
  </si>
  <si>
    <t>TIERRA DEL FUEGO</t>
  </si>
  <si>
    <t>RIO GRANDE (CTP)</t>
  </si>
  <si>
    <t>LTC23 (IDA y VTA)</t>
  </si>
  <si>
    <t>USH</t>
  </si>
  <si>
    <t>USHUAIA (CTP)</t>
  </si>
  <si>
    <t>LTN IDA-VTA</t>
  </si>
  <si>
    <t>LTN05 MARTES A JUEVES</t>
  </si>
  <si>
    <t>MARTES A JUEVES</t>
  </si>
  <si>
    <t>SEMI FURGON</t>
  </si>
  <si>
    <t>LTN05 DOMINGO</t>
  </si>
  <si>
    <t>DOMINGO</t>
  </si>
  <si>
    <t>LTN05 VIERNES</t>
  </si>
  <si>
    <t>VIERNES</t>
  </si>
  <si>
    <t>LTN07</t>
  </si>
  <si>
    <t>MARTES A VIERNES</t>
  </si>
  <si>
    <t>LTN07 DOMINGO</t>
  </si>
  <si>
    <t>LTN12 MARTES A JUEVES</t>
  </si>
  <si>
    <t>LTN12 VIERNES</t>
  </si>
  <si>
    <t>LTN12 DOMINGO</t>
  </si>
  <si>
    <t>LTN18</t>
  </si>
  <si>
    <t>SAN CARLOS DE BARILOCHE</t>
  </si>
  <si>
    <t>RIO NEGRO</t>
  </si>
  <si>
    <t>LTN18 DOMINGO</t>
  </si>
  <si>
    <t>Region CUYO NOA</t>
  </si>
  <si>
    <t>CUYO NOA</t>
  </si>
  <si>
    <t>Detalle transporte</t>
  </si>
  <si>
    <t>LTC 01</t>
  </si>
  <si>
    <t>CLOG MENDOZA (CTP)</t>
  </si>
  <si>
    <t xml:space="preserve">12 TON </t>
  </si>
  <si>
    <t xml:space="preserve">LTN03 </t>
  </si>
  <si>
    <t>LTN03 DOMINGO</t>
  </si>
  <si>
    <t>Region CENTRO NEA</t>
  </si>
  <si>
    <t>CENTRO NEA</t>
  </si>
  <si>
    <t>region</t>
  </si>
  <si>
    <t>CODIGO DE PLANTA</t>
  </si>
  <si>
    <t>Horarrio estimado llegada</t>
  </si>
  <si>
    <t>Distancia en KM</t>
  </si>
  <si>
    <t>DEPENDENCIA</t>
  </si>
  <si>
    <t>PROVINCIA</t>
  </si>
  <si>
    <t>ROS</t>
  </si>
  <si>
    <t>ATP</t>
  </si>
  <si>
    <t>APT 01 (IDA)</t>
  </si>
  <si>
    <t>LUNES A JUEVES</t>
  </si>
  <si>
    <t>ROSARIO (CTP)</t>
  </si>
  <si>
    <t>SANTA FE</t>
  </si>
  <si>
    <t>1,8 TON</t>
  </si>
  <si>
    <t>APT 02 (IDA)</t>
  </si>
  <si>
    <t>VILLA MARIA</t>
  </si>
  <si>
    <t>ENL</t>
  </si>
  <si>
    <t>ENLACE ROL-CL7-ROL PAQUETERIA 3</t>
  </si>
  <si>
    <t xml:space="preserve">CL7 </t>
  </si>
  <si>
    <t>LPT</t>
  </si>
  <si>
    <t>PT08</t>
  </si>
  <si>
    <t>VILLA MARÍA</t>
  </si>
  <si>
    <t>RCQ</t>
  </si>
  <si>
    <t>PT13</t>
  </si>
  <si>
    <t>Reconquista</t>
  </si>
  <si>
    <t>IRS</t>
  </si>
  <si>
    <t>ENL Gobernador Crespo</t>
  </si>
  <si>
    <t>ITR</t>
  </si>
  <si>
    <t>Vera</t>
  </si>
  <si>
    <t>IUU</t>
  </si>
  <si>
    <t>Villa Ocampo</t>
  </si>
  <si>
    <t>SFN</t>
  </si>
  <si>
    <t>PT14</t>
  </si>
  <si>
    <t>SANTA FE CTP</t>
  </si>
  <si>
    <t>Punto de Enlace ( Gdor Crespo )</t>
  </si>
  <si>
    <t>LPT BUE</t>
  </si>
  <si>
    <t>PT12 (IDA) LUaJU</t>
  </si>
  <si>
    <t>PT12 (VTA) MAaJU</t>
  </si>
  <si>
    <t>RIO CUARTO (CTP)</t>
  </si>
  <si>
    <t>RIO CUARTO-CORDOBA</t>
  </si>
  <si>
    <t>PRA</t>
  </si>
  <si>
    <t>LPT PAP</t>
  </si>
  <si>
    <t>PT18</t>
  </si>
  <si>
    <t>COL PARANA</t>
  </si>
  <si>
    <t>ENTRE RIOS</t>
  </si>
  <si>
    <t>CTP SANTA FE</t>
  </si>
  <si>
    <t>LTC 02</t>
  </si>
  <si>
    <t>LTC 03 IDA</t>
  </si>
  <si>
    <t>GLOG POSADAS</t>
  </si>
  <si>
    <t>LTC 03 VTA</t>
  </si>
  <si>
    <t>SIN LTC 09</t>
  </si>
  <si>
    <t>CENTRO LOG RESISTENCIA</t>
  </si>
  <si>
    <t>C16</t>
  </si>
  <si>
    <t>FORMOSA (CTP)</t>
  </si>
  <si>
    <t>FORMOSA</t>
  </si>
  <si>
    <t xml:space="preserve">LTC 20 </t>
  </si>
  <si>
    <t>LTC24 (IDA)</t>
  </si>
  <si>
    <t>CTP RIO CUARTO</t>
  </si>
  <si>
    <t>LTC24 (VTA)</t>
  </si>
  <si>
    <t>LTN01 BIS</t>
  </si>
  <si>
    <t>LTN01 BIS DOMINGO</t>
  </si>
  <si>
    <t>CLOG VILLA MARIA</t>
  </si>
  <si>
    <t>LTN02 BIS DOMINGO</t>
  </si>
  <si>
    <t>GLOC PARANA</t>
  </si>
  <si>
    <t>COL ROSARIO</t>
  </si>
  <si>
    <t>LTN02</t>
  </si>
  <si>
    <t>GLOG CORRIENTES</t>
  </si>
  <si>
    <t>CORRIENTES</t>
  </si>
  <si>
    <t>LTN02 DOMINGO</t>
  </si>
  <si>
    <t>LTN02 BIS</t>
  </si>
  <si>
    <t>LTN13</t>
  </si>
  <si>
    <t>LTN15</t>
  </si>
  <si>
    <t>CLOG 13 POSADAS</t>
  </si>
  <si>
    <t>LTN15 DOMINGO</t>
  </si>
  <si>
    <t>LTN20 DOMINGO</t>
  </si>
  <si>
    <t>PCT</t>
  </si>
  <si>
    <t xml:space="preserve">PCT 01 </t>
  </si>
  <si>
    <t xml:space="preserve"> LUNES A VIERNES</t>
  </si>
  <si>
    <t>Region PBA / LA PAMPA</t>
  </si>
  <si>
    <t>Auxiliares operativos</t>
  </si>
  <si>
    <t>PBA / LAPAMPA</t>
  </si>
  <si>
    <t>PBA</t>
  </si>
  <si>
    <t>BKG</t>
  </si>
  <si>
    <t>BUE</t>
  </si>
  <si>
    <t>BUE 07 (IDA)</t>
  </si>
  <si>
    <t>RANCHOS</t>
  </si>
  <si>
    <t>BOI</t>
  </si>
  <si>
    <t>GRAL BELGRANO</t>
  </si>
  <si>
    <t>BUE 07 (VTA)</t>
  </si>
  <si>
    <t>BKB</t>
  </si>
  <si>
    <t>BRANDSEN</t>
  </si>
  <si>
    <t>OBQ</t>
  </si>
  <si>
    <t>BUE 01 (IDA)</t>
  </si>
  <si>
    <t>CAPILLA DEL SEÑOR</t>
  </si>
  <si>
    <t>IOZ</t>
  </si>
  <si>
    <t>S.A. DE ARECO</t>
  </si>
  <si>
    <t>IOR</t>
  </si>
  <si>
    <t>CAPITAN SARMIENTO</t>
  </si>
  <si>
    <t>BUE 01 (VTA)</t>
  </si>
  <si>
    <t>OLN</t>
  </si>
  <si>
    <t xml:space="preserve">UP CAPITAN SARMIENTO </t>
  </si>
  <si>
    <t>OLP</t>
  </si>
  <si>
    <t>UP S.A DE ARECO</t>
  </si>
  <si>
    <t>YDX</t>
  </si>
  <si>
    <t>BUE 02A (IDA)</t>
  </si>
  <si>
    <t>CDD CAMPANA</t>
  </si>
  <si>
    <t>YDV</t>
  </si>
  <si>
    <t>CDD ZARATE</t>
  </si>
  <si>
    <t>IQG</t>
  </si>
  <si>
    <t>BARADERO</t>
  </si>
  <si>
    <t>IPY</t>
  </si>
  <si>
    <t>SAN PEDRO</t>
  </si>
  <si>
    <t>BUE 02A (VTA)</t>
  </si>
  <si>
    <t>IPK</t>
  </si>
  <si>
    <t>ZARATE</t>
  </si>
  <si>
    <t>OBJ</t>
  </si>
  <si>
    <t>CAMPANA</t>
  </si>
  <si>
    <t>BUE 02B (IDA)</t>
  </si>
  <si>
    <t>3,5 TON</t>
  </si>
  <si>
    <t>BNA</t>
  </si>
  <si>
    <t>BUE 03 (IDA)</t>
  </si>
  <si>
    <t>LUNES MIERCOLES Y VIERNES</t>
  </si>
  <si>
    <t>LEZAMA</t>
  </si>
  <si>
    <t>BMV</t>
  </si>
  <si>
    <t>PILA</t>
  </si>
  <si>
    <t>BMZ</t>
  </si>
  <si>
    <t>CASTELLI</t>
  </si>
  <si>
    <t>BML</t>
  </si>
  <si>
    <t>DOLORES</t>
  </si>
  <si>
    <t>BMM</t>
  </si>
  <si>
    <t>GRAL. CONESA</t>
  </si>
  <si>
    <t>MARTES Y JUEVES</t>
  </si>
  <si>
    <t xml:space="preserve">CTP BUENOS AIRES </t>
  </si>
  <si>
    <t>BUE 03 (VTA)</t>
  </si>
  <si>
    <t>MARTES, MIERCOLES Y VIERNES</t>
  </si>
  <si>
    <t>BNB</t>
  </si>
  <si>
    <t>CHASCOMUS</t>
  </si>
  <si>
    <t>JUEVES</t>
  </si>
  <si>
    <t>OPESSA DOLORES</t>
  </si>
  <si>
    <t>LUNES</t>
  </si>
  <si>
    <t>ISLA DEHEZA</t>
  </si>
  <si>
    <t>BOT</t>
  </si>
  <si>
    <t>BUE 04 (IDA)</t>
  </si>
  <si>
    <t>LOBOS</t>
  </si>
  <si>
    <t>BOW</t>
  </si>
  <si>
    <t>ROQUE PEREZ</t>
  </si>
  <si>
    <t>BOZ</t>
  </si>
  <si>
    <t>SALADILLO</t>
  </si>
  <si>
    <t>BPA</t>
  </si>
  <si>
    <t>GRAL ALVEAR</t>
  </si>
  <si>
    <t>BUE 04 (VTA)</t>
  </si>
  <si>
    <t>HWH</t>
  </si>
  <si>
    <t>QWH</t>
  </si>
  <si>
    <t>BOF</t>
  </si>
  <si>
    <t>BUE 05 (IDA)</t>
  </si>
  <si>
    <t>SAN MIGUEL DEL MONTE</t>
  </si>
  <si>
    <t>BNL</t>
  </si>
  <si>
    <t>LAS FLORES</t>
  </si>
  <si>
    <t>BNZ</t>
  </si>
  <si>
    <t>CACHARI</t>
  </si>
  <si>
    <t>BPD</t>
  </si>
  <si>
    <t>AZUL</t>
  </si>
  <si>
    <t>BNO</t>
  </si>
  <si>
    <t>RAUCH</t>
  </si>
  <si>
    <t>BUE 05 (VTA)</t>
  </si>
  <si>
    <t>BUE 06 (IDA)</t>
  </si>
  <si>
    <t>BUE 06 (VTA)</t>
  </si>
  <si>
    <t>SVC</t>
  </si>
  <si>
    <t>SAN VICENTE</t>
  </si>
  <si>
    <t>BUE 06 (IDA) SAB</t>
  </si>
  <si>
    <t>SABADO</t>
  </si>
  <si>
    <t>ENLACE LPG-MDQ-LPG PAQUETERIA 3</t>
  </si>
  <si>
    <t>GLOG MAR DEL PLATA</t>
  </si>
  <si>
    <t>IJV</t>
  </si>
  <si>
    <t>LD</t>
  </si>
  <si>
    <t>LUJAN</t>
  </si>
  <si>
    <t>BYO</t>
  </si>
  <si>
    <t>GRAL.RODRIGUEZ</t>
  </si>
  <si>
    <t>T100-IDA</t>
  </si>
  <si>
    <t>LAS FLORES SUC GALICIA</t>
  </si>
  <si>
    <t>IFU</t>
  </si>
  <si>
    <t>BOLIVAR-SUC BCO GALICIA</t>
  </si>
  <si>
    <t>IDO</t>
  </si>
  <si>
    <t>PEHUAJO-SUC BCO GALICIA</t>
  </si>
  <si>
    <t>IDE</t>
  </si>
  <si>
    <t>TRENQUE LAUQUEN</t>
  </si>
  <si>
    <t>ENALCE_01</t>
  </si>
  <si>
    <t>ENLACE CON GRAL PICO</t>
  </si>
  <si>
    <t>ICF</t>
  </si>
  <si>
    <t>GRAL VILLEGAS-BANCO GALICIA</t>
  </si>
  <si>
    <t>T100-IDA.</t>
  </si>
  <si>
    <t>ENLACE_01</t>
  </si>
  <si>
    <t>T100-VTA</t>
  </si>
  <si>
    <t>TRENQUE LAUQUEN- SUC BCO GALICIA</t>
  </si>
  <si>
    <t>TRENQUE LAUQUEN- SUC CORREO</t>
  </si>
  <si>
    <t>PAP</t>
  </si>
  <si>
    <t>BCO GALICIA</t>
  </si>
  <si>
    <t>GTO</t>
  </si>
  <si>
    <t xml:space="preserve">T110 IDA ENLACE G. PICO </t>
  </si>
  <si>
    <t>GENERAL PICO</t>
  </si>
  <si>
    <t>ENLACE RUTA 33 Y 70 C/T100</t>
  </si>
  <si>
    <t>SUC 123 GALICA (G. PICO)</t>
  </si>
  <si>
    <t xml:space="preserve">T110 VTA ENLACE G. PICO </t>
  </si>
  <si>
    <t xml:space="preserve">T130 VTA </t>
  </si>
  <si>
    <t>SANTA ROSA (LP)</t>
  </si>
  <si>
    <t>Suc 251 Galicia (Santa Rosa)</t>
  </si>
  <si>
    <t>TRENQUE LAUQUEN (BA)</t>
  </si>
  <si>
    <t>MDQ</t>
  </si>
  <si>
    <t>T250 - MDQ</t>
  </si>
  <si>
    <t>CTP MAR DEL PLATA</t>
  </si>
  <si>
    <t>BTI</t>
  </si>
  <si>
    <t>BALCARCE (Bco. Galicia)</t>
  </si>
  <si>
    <t>BALCARCE</t>
  </si>
  <si>
    <t>BTS</t>
  </si>
  <si>
    <t>NECOCHEA (Bco. Galicia)</t>
  </si>
  <si>
    <t>NECOCHA</t>
  </si>
  <si>
    <t>NECOCHEA</t>
  </si>
  <si>
    <t>T260 - MDQ</t>
  </si>
  <si>
    <t>T270 - MDQ</t>
  </si>
  <si>
    <t>BNI</t>
  </si>
  <si>
    <t>PINAMAR (Bco. Galicia)</t>
  </si>
  <si>
    <t>PINAMAR</t>
  </si>
  <si>
    <t>PT05 (IDA)</t>
  </si>
  <si>
    <t>SANTA ROSA (CTP)</t>
  </si>
  <si>
    <t>PT05 (VTA)</t>
  </si>
  <si>
    <t>TDL</t>
  </si>
  <si>
    <t>PT17 (IDA y VTA)</t>
  </si>
  <si>
    <t>TANDIL</t>
  </si>
  <si>
    <t>PT17 (IDA) VIERNES</t>
  </si>
  <si>
    <t>PT17 (VTA) SABADO</t>
  </si>
  <si>
    <t>AZUL - BCO GALICIA</t>
  </si>
  <si>
    <t>BPV</t>
  </si>
  <si>
    <t>OLAVARRIA -  BCO GALICIA</t>
  </si>
  <si>
    <t>BBC</t>
  </si>
  <si>
    <t>TRES ARROYOS-  BCO GALICIA</t>
  </si>
  <si>
    <t>TANDIL -   BCO GALICIA</t>
  </si>
  <si>
    <t>PT04</t>
  </si>
  <si>
    <t>BHI</t>
  </si>
  <si>
    <t>BN</t>
  </si>
  <si>
    <t>BANCO NACION</t>
  </si>
  <si>
    <t>PT19</t>
  </si>
  <si>
    <t>MERCEDES (CTP)</t>
  </si>
  <si>
    <t>CTP BAHIA BLANCA</t>
  </si>
  <si>
    <t>COR</t>
  </si>
  <si>
    <t>CTP CORDOBA</t>
  </si>
  <si>
    <t xml:space="preserve">LTN04 </t>
  </si>
  <si>
    <t>PERGAMINO (CTP)</t>
  </si>
  <si>
    <t xml:space="preserve">LTN04 BIS </t>
  </si>
  <si>
    <t>PEHUAJO</t>
  </si>
  <si>
    <t>LTN06</t>
  </si>
  <si>
    <t>LTN06 DOMINGO</t>
  </si>
  <si>
    <t>LTN08 MAÑANA</t>
  </si>
  <si>
    <t>SEMIFURGON</t>
  </si>
  <si>
    <t>LTN08 TARDE</t>
  </si>
  <si>
    <t>16.00</t>
  </si>
  <si>
    <t>CTP BUENOS AIRES</t>
  </si>
  <si>
    <t>LTN09</t>
  </si>
  <si>
    <t>LTN09 DOMINGO</t>
  </si>
  <si>
    <t>LTN10</t>
  </si>
  <si>
    <t>LTN10 DOMINGO</t>
  </si>
  <si>
    <t>LTN14</t>
  </si>
  <si>
    <t>LTN19</t>
  </si>
  <si>
    <t>PCT 07 (IDA)</t>
  </si>
  <si>
    <t>PCT 07 (VTA)</t>
  </si>
  <si>
    <t>% Auxiliares operativos</t>
  </si>
  <si>
    <t>% Personal a reubicar</t>
  </si>
  <si>
    <t>Costo empresa por auxiliar  (+ de 10 años antiguedad mensual)</t>
  </si>
  <si>
    <t>Costo empresa por auxiliar  (mensual)</t>
  </si>
  <si>
    <t>Costo empresa (mensual)</t>
  </si>
  <si>
    <t>Costo empresa (+ de 10 años antiguedad anual)</t>
  </si>
  <si>
    <t>Costo empresa (anual)</t>
  </si>
  <si>
    <t>TOTAL</t>
  </si>
  <si>
    <t>Dotacion actual region SUR</t>
  </si>
  <si>
    <t>Personal necesario para operacion diaria</t>
  </si>
  <si>
    <t>Total de recursos a rubicar region SUR</t>
  </si>
  <si>
    <t>Dotacion actual region CUYO NOA</t>
  </si>
  <si>
    <t>Total de recursos a rubicar region CUYO NOA</t>
  </si>
  <si>
    <t>Dotacion actual region CENTRO NEA</t>
  </si>
  <si>
    <t>Total de recursos a rubicar region CENTRO NEA</t>
  </si>
  <si>
    <t>Dotacion actual region PBA / LA PAMPA</t>
  </si>
  <si>
    <t>Total de recursos a rubicar region PBA / LA PAMPA</t>
  </si>
</sst>
</file>

<file path=xl/styles.xml><?xml version="1.0" encoding="utf-8"?>
<styleSheet xmlns="http://schemas.openxmlformats.org/spreadsheetml/2006/main">
  <numFmts count="10">
    <numFmt numFmtId="176" formatCode="[$$-2C0A]\ #,##0.00_);[Red]\([$$-2C0A]\ #,##0.00\)"/>
    <numFmt numFmtId="43" formatCode="_-* #,##0.00_-;\-* #,##0.00_-;_-* &quot;-&quot;??_-;_-@_-"/>
    <numFmt numFmtId="177" formatCode="[hh]:mm"/>
    <numFmt numFmtId="41" formatCode="_-* #,##0_-;\-* #,##0_-;_-* &quot;-&quot;_-;_-@_-"/>
    <numFmt numFmtId="178" formatCode="_-* #,##0\ &quot;€&quot;_-;\-* #,##0\ &quot;€&quot;_-;_-* &quot;-&quot;\ &quot;€&quot;_-;_-@_-"/>
    <numFmt numFmtId="179" formatCode="_-* #,##0.00\ &quot;€&quot;_-;\-* #,##0.00\ &quot;€&quot;_-;_-* \-??\ &quot;€&quot;_-;_-@_-"/>
    <numFmt numFmtId="180" formatCode="#,##0.00\ &quot;€&quot;_);[Red]\(#,##0.00\ &quot;€&quot;\)"/>
    <numFmt numFmtId="181" formatCode="#,000_);[Red]\(#,000\)"/>
    <numFmt numFmtId="182" formatCode="[$$-2C0A]\ #,##0.00;[$$-2C0A]\ \-#,##0.00"/>
    <numFmt numFmtId="183" formatCode="#,#00"/>
  </numFmts>
  <fonts count="3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2"/>
      <color rgb="FF000000"/>
      <name val="Calibri"/>
      <charset val="134"/>
    </font>
    <font>
      <b/>
      <sz val="14"/>
      <color theme="0"/>
      <name val="Calibri"/>
      <charset val="134"/>
      <scheme val="minor"/>
    </font>
    <font>
      <sz val="16"/>
      <color theme="0"/>
      <name val="Calibri"/>
      <charset val="134"/>
      <scheme val="minor"/>
    </font>
    <font>
      <b/>
      <sz val="11"/>
      <color theme="0"/>
      <name val="Calibri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0" fontId="14" fillId="0" borderId="2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8" borderId="25" applyNumberFormat="0" applyAlignment="0" applyProtection="0">
      <alignment vertical="center"/>
    </xf>
    <xf numFmtId="0" fontId="0" fillId="13" borderId="27" applyNumberFormat="0" applyFont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16" borderId="29" applyNumberFormat="0" applyAlignment="0" applyProtection="0">
      <alignment vertical="center"/>
    </xf>
    <xf numFmtId="0" fontId="26" fillId="8" borderId="29" applyNumberFormat="0" applyAlignment="0" applyProtection="0">
      <alignment vertical="center"/>
    </xf>
    <xf numFmtId="0" fontId="27" fillId="17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0" borderId="0"/>
    <xf numFmtId="0" fontId="12" fillId="3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0" borderId="0"/>
  </cellStyleXfs>
  <cellXfs count="1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6" xfId="7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8" xfId="7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11" xfId="7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9" fontId="2" fillId="3" borderId="3" xfId="7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8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76" fontId="0" fillId="0" borderId="14" xfId="5" applyNumberFormat="1" applyBorder="1" applyAlignment="1">
      <alignment horizontal="center" vertical="center" wrapText="1"/>
    </xf>
    <xf numFmtId="176" fontId="0" fillId="0" borderId="15" xfId="0" applyNumberForma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81" fontId="0" fillId="0" borderId="0" xfId="5" applyNumberFormat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182" fontId="0" fillId="0" borderId="19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7" xfId="0" applyBorder="1">
      <alignment vertical="center"/>
    </xf>
    <xf numFmtId="0" fontId="0" fillId="0" borderId="0" xfId="0" applyFill="1" applyAlignment="1">
      <alignment horizontal="left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Fill="1" applyBorder="1" applyAlignment="1">
      <alignment horizontal="left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81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21" xfId="0" applyFont="1" applyFill="1" applyBorder="1" applyAlignment="1">
      <alignment horizontal="left" vertical="center" wrapText="1"/>
    </xf>
    <xf numFmtId="20" fontId="7" fillId="2" borderId="21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left" vertical="center"/>
    </xf>
    <xf numFmtId="0" fontId="8" fillId="0" borderId="0" xfId="50" applyFont="1" applyFill="1" applyBorder="1" applyAlignment="1">
      <alignment horizontal="left" vertical="center"/>
    </xf>
    <xf numFmtId="20" fontId="8" fillId="0" borderId="0" xfId="50" applyNumberFormat="1" applyFont="1" applyFill="1" applyBorder="1" applyAlignment="1">
      <alignment horizontal="center" vertical="center"/>
    </xf>
    <xf numFmtId="20" fontId="9" fillId="0" borderId="0" xfId="5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0" fillId="0" borderId="20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81" fontId="0" fillId="0" borderId="11" xfId="0" applyNumberFormat="1" applyBorder="1" applyAlignment="1">
      <alignment horizontal="center" vertical="center"/>
    </xf>
    <xf numFmtId="177" fontId="8" fillId="0" borderId="0" xfId="50" applyNumberFormat="1" applyFont="1" applyFill="1" applyBorder="1" applyAlignment="1">
      <alignment horizontal="center" vertical="center"/>
    </xf>
    <xf numFmtId="177" fontId="8" fillId="0" borderId="0" xfId="50" applyNumberFormat="1" applyFont="1" applyFill="1" applyBorder="1" applyAlignment="1" applyProtection="1">
      <alignment horizontal="left" vertical="center"/>
      <protection locked="0"/>
    </xf>
    <xf numFmtId="177" fontId="8" fillId="0" borderId="0" xfId="50" applyNumberFormat="1" applyFont="1" applyFill="1" applyBorder="1" applyAlignment="1">
      <alignment horizontal="left" vertical="center"/>
    </xf>
    <xf numFmtId="183" fontId="8" fillId="0" borderId="0" xfId="50" applyNumberFormat="1" applyFont="1" applyFill="1" applyBorder="1" applyAlignment="1">
      <alignment horizontal="left" vertical="center"/>
    </xf>
    <xf numFmtId="177" fontId="8" fillId="0" borderId="0" xfId="0" applyNumberFormat="1" applyFont="1" applyFill="1" applyBorder="1" applyAlignment="1">
      <alignment horizontal="left" vertical="center"/>
    </xf>
    <xf numFmtId="177" fontId="9" fillId="0" borderId="0" xfId="5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20" fontId="7" fillId="2" borderId="2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20" fontId="8" fillId="0" borderId="0" xfId="5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81" fontId="0" fillId="0" borderId="7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81" fontId="0" fillId="0" borderId="9" xfId="0" applyNumberFormat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20" fontId="7" fillId="2" borderId="0" xfId="0" applyNumberFormat="1" applyFont="1" applyFill="1" applyBorder="1" applyAlignment="1">
      <alignment horizontal="left" vertical="center" wrapText="1"/>
    </xf>
    <xf numFmtId="0" fontId="10" fillId="0" borderId="0" xfId="36" applyFont="1" applyFill="1" applyBorder="1" applyAlignment="1" applyProtection="1">
      <alignment vertical="top" wrapText="1"/>
      <protection hidden="1"/>
    </xf>
    <xf numFmtId="0" fontId="0" fillId="0" borderId="7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181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1" fontId="0" fillId="0" borderId="7" xfId="0" applyNumberFormat="1" applyBorder="1" applyAlignment="1">
      <alignment horizontal="center" vertical="center"/>
    </xf>
    <xf numFmtId="181" fontId="0" fillId="0" borderId="10" xfId="0" applyNumberFormat="1" applyBorder="1" applyAlignment="1">
      <alignment horizontal="center" vertical="center"/>
    </xf>
    <xf numFmtId="181" fontId="0" fillId="0" borderId="9" xfId="0" applyNumberForma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81" fontId="0" fillId="0" borderId="11" xfId="0" applyNumberFormat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Fill="1" applyAlignment="1"/>
    <xf numFmtId="0" fontId="0" fillId="0" borderId="0" xfId="0" applyNumberForma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20" fontId="0" fillId="0" borderId="0" xfId="0" applyNumberFormat="1" applyFont="1" applyFill="1" applyBorder="1" applyAlignment="1">
      <alignment horizontal="left" vertical="center"/>
    </xf>
    <xf numFmtId="0" fontId="0" fillId="0" borderId="24" xfId="0" applyFont="1" applyFill="1" applyBorder="1" applyAlignment="1"/>
  </cellXfs>
  <cellStyles count="51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Normal_FICHA-RUTA" xfId="36"/>
    <cellStyle name="Énfasis3" xfId="37" builtinId="37"/>
    <cellStyle name="20% - Énfasis3" xfId="38" builtinId="38"/>
    <cellStyle name="40% - Énfasis3" xfId="39" builtinId="39"/>
    <cellStyle name="60% - Énfasis3" xfId="40" builtinId="40"/>
    <cellStyle name="Énfasis4" xfId="41" builtinId="41"/>
    <cellStyle name="20% - Énfasis4" xfId="42" builtinId="42"/>
    <cellStyle name="40% - Énfasis4" xfId="43" builtinId="43"/>
    <cellStyle name="60% - Énfasis4" xfId="44" builtinId="44"/>
    <cellStyle name="Énfasis5" xfId="45" builtinId="45"/>
    <cellStyle name="60% - Énfasis5" xfId="46" builtinId="48"/>
    <cellStyle name="Énfasis6" xfId="47" builtinId="49"/>
    <cellStyle name="40% - Énfasis6" xfId="48" builtinId="51"/>
    <cellStyle name="60% - Énfasis6" xfId="49" builtinId="52"/>
    <cellStyle name="Normal_chau pae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correoargentinosa-my.sharepoint.com/:i:/g/personal/dporcel_correoargentino_com_ar/IQDjhsBQW6LCRoKlnL3qcz_AAac4t4S2oR5rNdFenJEjWQQ?e=u6Eqma" TargetMode="External"/><Relationship Id="rId8" Type="http://schemas.openxmlformats.org/officeDocument/2006/relationships/hyperlink" Target="https://correoargentinosa-my.sharepoint.com/:i:/g/personal/dporcel_correoargentino_com_ar/IQB7F3hubV0MQ6P5-8wnV6-GAfxMYFy48diM7t6wMc5DtAo?e=oXpcMM" TargetMode="External"/><Relationship Id="rId7" Type="http://schemas.openxmlformats.org/officeDocument/2006/relationships/hyperlink" Target="https://correoargentinosa-my.sharepoint.com/:b:/g/personal/dporcel_correoargentino_com_ar/IQAi_uHs_5PATbyI_hAMFHWJAeb7FZCMjfD8wq_1QpBq1ec?e=dbUvwQ" TargetMode="External"/><Relationship Id="rId6" Type="http://schemas.openxmlformats.org/officeDocument/2006/relationships/hyperlink" Target="https://correoargentinosa-my.sharepoint.com/:b:/g/personal/dporcel_correoargentino_com_ar/IQBGnrDxd1W3RIRr5YxYfkviAfaWzV1ZAmmPJErEZlx-QkU?e=UUzgIy" TargetMode="External"/><Relationship Id="rId5" Type="http://schemas.openxmlformats.org/officeDocument/2006/relationships/hyperlink" Target="https://correoargentinosa-my.sharepoint.com/:b:/g/personal/dporcel_correoargentino_com_ar/IQDiC9Sk0qH9QK2EwI3FTuXJAQbVsQO9OS7MWK2X8P__nAs?e=y5dsnS" TargetMode="External"/><Relationship Id="rId4" Type="http://schemas.openxmlformats.org/officeDocument/2006/relationships/hyperlink" Target="https://correoargentinosa-my.sharepoint.com/:b:/g/personal/dporcel_correoargentino_com_ar/IQDXnl6XKHRsR6XzGz69avMVAUyi1gpi8yLFqB_cT7_w_nM?e=4GcglE" TargetMode="External"/><Relationship Id="rId3" Type="http://schemas.openxmlformats.org/officeDocument/2006/relationships/hyperlink" Target="https://correoargentinosa-my.sharepoint.com/:b:/g/personal/dporcel_correoargentino_com_ar/IQAa_aLRj3X-S6VSH106NYnMAQvwBsCtarRbNJBC24RFQZ0?e=AMgahe" TargetMode="External"/><Relationship Id="rId28" Type="http://schemas.openxmlformats.org/officeDocument/2006/relationships/hyperlink" Target="https://correoargentinosa-my.sharepoint.com/:b:/g/personal/dporcel_correoargentino_com_ar/IQA7bxHcIuosQa3hXKWx_1I5AdJ2QJa-wi4UwvBtzy_C2Oc?e=78f140" TargetMode="External"/><Relationship Id="rId27" Type="http://schemas.openxmlformats.org/officeDocument/2006/relationships/hyperlink" Target="https://correoargentinosa-my.sharepoint.com/:b:/g/personal/dporcel_correoargentino_com_ar/IQAnIubcstCDQIyinyjNpfLMAW5SK7VzXyTZkeYIhomFrhQ?e=bPh9d0" TargetMode="External"/><Relationship Id="rId26" Type="http://schemas.openxmlformats.org/officeDocument/2006/relationships/hyperlink" Target="https://correoargentinosa-my.sharepoint.com/:b:/g/personal/dporcel_correoargentino_com_ar/IQBugYT0kLG7RLckDmd43rx3AYr755cMxU-pdl7p7zAwhco?e=1PJU0Y" TargetMode="External"/><Relationship Id="rId25" Type="http://schemas.openxmlformats.org/officeDocument/2006/relationships/hyperlink" Target="https://correoargentinosa-my.sharepoint.com/:b:/g/personal/dporcel_correoargentino_com_ar/IQAcKXtvaKDASY-ucb1CGg9bAUk8sDqgaOSHg8a-LPh3--M?e=Z6fs8g" TargetMode="External"/><Relationship Id="rId24" Type="http://schemas.openxmlformats.org/officeDocument/2006/relationships/hyperlink" Target="https://correoargentinosa-my.sharepoint.com/:b:/g/personal/dporcel_correoargentino_com_ar/IQCPkH3AD2kxQLWIP0ci0rcqAYjHvqVI-W-BN-D6r8Sa49M?e=VSHtz3" TargetMode="External"/><Relationship Id="rId23" Type="http://schemas.openxmlformats.org/officeDocument/2006/relationships/hyperlink" Target="https://correoargentinosa-my.sharepoint.com/:b:/g/personal/dporcel_correoargentino_com_ar/IQDECXgNFglgTJfkxte_TtPWAQC84kGaW93JE1kNmA20SpE?e=75fJDk" TargetMode="External"/><Relationship Id="rId22" Type="http://schemas.openxmlformats.org/officeDocument/2006/relationships/hyperlink" Target="https://correoargentinosa-my.sharepoint.com/:b:/g/personal/dporcel_correoargentino_com_ar/IQB3ovTVuOHtRb3w6BaKdKCUAUnoGY6dsFX65FnwuQ8zd2Q?e=1vmhTc" TargetMode="External"/><Relationship Id="rId21" Type="http://schemas.openxmlformats.org/officeDocument/2006/relationships/hyperlink" Target="https://correoargentinosa-my.sharepoint.com/:b:/g/personal/dporcel_correoargentino_com_ar/IQBKk6Md041yRqKM9ufMhR1-AfYMMteLxdj4ak-iKlqydhw?e=UK0oiV" TargetMode="External"/><Relationship Id="rId20" Type="http://schemas.openxmlformats.org/officeDocument/2006/relationships/hyperlink" Target="https://correoargentinosa-my.sharepoint.com/:b:/g/personal/dporcel_correoargentino_com_ar/IQCGdtXzvsOHT6ZbP_zUPjBfAfrClHccvbp5_S2Rb-MdCBM?e=W3WgTB" TargetMode="External"/><Relationship Id="rId2" Type="http://schemas.openxmlformats.org/officeDocument/2006/relationships/hyperlink" Target="https://correoargentinosa-my.sharepoint.com/:i:/g/personal/dporcel_correoargentino_com_ar/IQBtGnIe_rDDQae0qSnPkvWbAU38yL0QpTRVN2DeGv8NSqE?e=4WxSe6" TargetMode="External"/><Relationship Id="rId19" Type="http://schemas.openxmlformats.org/officeDocument/2006/relationships/hyperlink" Target="https://correoargentinosa-my.sharepoint.com/:i:/g/personal/dporcel_correoargentino_com_ar/IQBfY55fpBHiQIM1fAQAydOpAQd1qt3H0WibHDN63WiB-Do?e=mGJiFe" TargetMode="External"/><Relationship Id="rId18" Type="http://schemas.openxmlformats.org/officeDocument/2006/relationships/hyperlink" Target="https://correoargentinosa-my.sharepoint.com/:i:/g/personal/dporcel_correoargentino_com_ar/IQAD-NrvQSDTRY9v8yi8xE_fAUBlxRGiW7J5jNe8oSzrWMU?e=uaqkVm" TargetMode="External"/><Relationship Id="rId17" Type="http://schemas.openxmlformats.org/officeDocument/2006/relationships/hyperlink" Target="https://correoargentinosa-my.sharepoint.com/:i:/g/personal/dporcel_correoargentino_com_ar/IQBAmq6sMs1pT7_cravmDNC2AbdDytDScVjIFAO_8ElDfZQ?e=uzovKo" TargetMode="External"/><Relationship Id="rId16" Type="http://schemas.openxmlformats.org/officeDocument/2006/relationships/hyperlink" Target="https://correoargentinosa-my.sharepoint.com/:i:/g/personal/dporcel_correoargentino_com_ar/IQBkn9K3fBl6RLJCtlfi_xkuAbeQzmNxlV2isu5hV1wXGus?e=3eYHDW" TargetMode="External"/><Relationship Id="rId15" Type="http://schemas.openxmlformats.org/officeDocument/2006/relationships/hyperlink" Target="https://correoargentinosa-my.sharepoint.com/:i:/g/personal/dporcel_correoargentino_com_ar/IQB27phie8GvRbubu0obV2ylAcaM5eKim8coh89Te2uecgY?e=FaWoGd" TargetMode="External"/><Relationship Id="rId14" Type="http://schemas.openxmlformats.org/officeDocument/2006/relationships/hyperlink" Target="https://correoargentinosa-my.sharepoint.com/:i:/g/personal/dporcel_correoargentino_com_ar/IQA0A0J_tJVuQq4SNzu084jPAS9WYkyFbeLbMK21LpXkjMI?e=cBMxCd" TargetMode="External"/><Relationship Id="rId13" Type="http://schemas.openxmlformats.org/officeDocument/2006/relationships/hyperlink" Target="https://correoargentinosa-my.sharepoint.com/:i:/g/personal/dporcel_correoargentino_com_ar/IQD3DqRytlziSKhKMImjU2t2AfXOR6zWxhx1_WJwuthxyHk?e=sgT3Ss" TargetMode="External"/><Relationship Id="rId12" Type="http://schemas.openxmlformats.org/officeDocument/2006/relationships/hyperlink" Target="https://correoargentinosa-my.sharepoint.com/:i:/g/personal/dporcel_correoargentino_com_ar/IQB7fUTZRybBTr7tYfnqMixuAUvniNk2mreVw16CnzPFHb0?e=hf8ihY" TargetMode="External"/><Relationship Id="rId11" Type="http://schemas.openxmlformats.org/officeDocument/2006/relationships/hyperlink" Target="https://correoargentinosa-my.sharepoint.com/:i:/g/personal/dporcel_correoargentino_com_ar/IQASxIhpUXFcSIZrfrYj3eEdAYYf0JbmlC5yMLzrHBxU5QA?e=7rCP5J" TargetMode="External"/><Relationship Id="rId10" Type="http://schemas.openxmlformats.org/officeDocument/2006/relationships/hyperlink" Target="https://correoargentinosa-my.sharepoint.com/:i:/g/personal/dporcel_correoargentino_com_ar/IQBFX6LT6ZXsQJuTzzgjHZKHAUgDqEdao0RLWhfvutVV9qE?e=CTSJLj" TargetMode="External"/><Relationship Id="rId1" Type="http://schemas.openxmlformats.org/officeDocument/2006/relationships/hyperlink" Target="https://correoargentinosa-my.sharepoint.com/:i:/g/personal/dporcel_correoargentino_com_ar/IQCP0qOo3W09T7aDP5CC5ei6AWhUMUJkhClCYxzvQGBUOKI?e=zENMe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7"/>
  <sheetViews>
    <sheetView tabSelected="1" workbookViewId="0">
      <selection activeCell="E23" sqref="E23"/>
    </sheetView>
  </sheetViews>
  <sheetFormatPr defaultColWidth="9.14285714285714" defaultRowHeight="15"/>
  <cols>
    <col min="1" max="1" width="13.6380952380952" style="138" customWidth="1"/>
    <col min="2" max="2" width="32.8190476190476" style="138" customWidth="1"/>
    <col min="3" max="3" width="15.5428571428571" style="138" customWidth="1"/>
    <col min="4" max="4" width="9.28571428571429" style="138" customWidth="1"/>
    <col min="5" max="5" width="59.7238095238095" style="138" customWidth="1"/>
    <col min="6" max="6" width="23.9047619047619" style="138" customWidth="1"/>
    <col min="7" max="7" width="15.7238095238095" style="138" customWidth="1"/>
    <col min="8" max="8" width="16.5428571428571" style="138" customWidth="1"/>
    <col min="9" max="9" width="18" style="138" customWidth="1"/>
    <col min="10" max="11" width="11.5428571428571" style="138" customWidth="1"/>
    <col min="12" max="12" width="31.7142857142857" style="138" customWidth="1"/>
    <col min="13" max="13" width="13" style="138" customWidth="1"/>
    <col min="14" max="14" width="11" style="138" customWidth="1"/>
    <col min="15" max="15" width="48.7142857142857" style="138" customWidth="1"/>
    <col min="16" max="16" width="12.1428571428571" style="138" customWidth="1"/>
    <col min="17" max="17" width="11" style="138" customWidth="1"/>
    <col min="18" max="18" width="48.2857142857143" style="138" customWidth="1"/>
    <col min="19" max="19" width="12.8571428571429" style="138" customWidth="1"/>
    <col min="20" max="20" width="11.5428571428571" style="138" customWidth="1"/>
    <col min="21" max="21" width="16.3619047619048" style="138" customWidth="1"/>
    <col min="22" max="22" width="25" style="138" customWidth="1"/>
    <col min="23" max="24" width="23.9047619047619" style="138" customWidth="1"/>
    <col min="25" max="25" width="20.0952380952381" style="138" customWidth="1"/>
    <col min="26" max="27" width="8.72380952380952" style="138" customWidth="1"/>
    <col min="28" max="28" width="26.0952380952381" style="138" customWidth="1"/>
    <col min="29" max="33" width="34.3619047619048" style="138" customWidth="1"/>
    <col min="34" max="34" width="24.5428571428571" style="138" customWidth="1"/>
    <col min="35" max="35" width="25.1809523809524" style="138" customWidth="1"/>
    <col min="36" max="36" width="21" style="138" customWidth="1"/>
    <col min="37" max="37" width="133" style="138" customWidth="1"/>
    <col min="38" max="16347" width="8.72380952380952" style="138"/>
    <col min="16348" max="16348" width="9.14285714285714" style="138"/>
    <col min="16349" max="16349" width="8.72380952380952" style="138"/>
    <col min="16350" max="16384" width="9.14285714285714" style="138"/>
  </cols>
  <sheetData>
    <row r="1" s="137" customFormat="1" ht="60" spans="1:37">
      <c r="A1" s="137" t="s">
        <v>0</v>
      </c>
      <c r="B1" s="137" t="s">
        <v>1</v>
      </c>
      <c r="C1" s="137" t="s">
        <v>2</v>
      </c>
      <c r="D1" s="137" t="s">
        <v>3</v>
      </c>
      <c r="E1" s="137" t="s">
        <v>4</v>
      </c>
      <c r="F1" s="137" t="s">
        <v>5</v>
      </c>
      <c r="G1" s="137" t="s">
        <v>6</v>
      </c>
      <c r="H1" s="137" t="s">
        <v>7</v>
      </c>
      <c r="I1" s="137" t="s">
        <v>8</v>
      </c>
      <c r="J1" s="137" t="s">
        <v>9</v>
      </c>
      <c r="K1" s="137" t="s">
        <v>10</v>
      </c>
      <c r="L1" s="137" t="s">
        <v>11</v>
      </c>
      <c r="M1" s="137" t="s">
        <v>12</v>
      </c>
      <c r="N1" s="137" t="s">
        <v>13</v>
      </c>
      <c r="O1" s="137" t="s">
        <v>14</v>
      </c>
      <c r="P1" s="137" t="s">
        <v>15</v>
      </c>
      <c r="Q1" s="137" t="s">
        <v>16</v>
      </c>
      <c r="R1" s="137" t="s">
        <v>17</v>
      </c>
      <c r="S1" s="137" t="s">
        <v>18</v>
      </c>
      <c r="T1" s="137" t="s">
        <v>19</v>
      </c>
      <c r="U1" s="137" t="s">
        <v>20</v>
      </c>
      <c r="V1" s="137" t="s">
        <v>21</v>
      </c>
      <c r="W1" s="137" t="s">
        <v>22</v>
      </c>
      <c r="X1" s="137" t="s">
        <v>23</v>
      </c>
      <c r="Y1" s="137" t="s">
        <v>24</v>
      </c>
      <c r="Z1" s="137" t="s">
        <v>25</v>
      </c>
      <c r="AA1" s="137" t="s">
        <v>26</v>
      </c>
      <c r="AB1" s="137" t="s">
        <v>27</v>
      </c>
      <c r="AC1" s="137" t="s">
        <v>28</v>
      </c>
      <c r="AD1" s="137" t="s">
        <v>29</v>
      </c>
      <c r="AE1" s="137" t="s">
        <v>30</v>
      </c>
      <c r="AF1" s="137" t="s">
        <v>31</v>
      </c>
      <c r="AG1" s="137" t="s">
        <v>32</v>
      </c>
      <c r="AH1" s="137" t="s">
        <v>33</v>
      </c>
      <c r="AI1" s="137" t="s">
        <v>34</v>
      </c>
      <c r="AJ1" s="137" t="s">
        <v>35</v>
      </c>
      <c r="AK1" s="137" t="s">
        <v>36</v>
      </c>
    </row>
    <row r="2" s="138" customFormat="1" spans="1:29">
      <c r="A2" s="62" t="s">
        <v>37</v>
      </c>
      <c r="B2" s="62" t="s">
        <v>38</v>
      </c>
      <c r="C2" s="62" t="s">
        <v>39</v>
      </c>
      <c r="D2" s="62" t="s">
        <v>39</v>
      </c>
      <c r="E2" s="62" t="s">
        <v>40</v>
      </c>
      <c r="F2" s="62" t="s">
        <v>41</v>
      </c>
      <c r="G2" s="62" t="s">
        <v>42</v>
      </c>
      <c r="H2" s="139">
        <v>117293</v>
      </c>
      <c r="I2" s="62">
        <v>2000</v>
      </c>
      <c r="J2" s="62">
        <v>53</v>
      </c>
      <c r="K2" s="62">
        <f>+N2+Q2+T2</f>
        <v>39</v>
      </c>
      <c r="L2" s="62" t="s">
        <v>43</v>
      </c>
      <c r="M2" s="62">
        <v>5</v>
      </c>
      <c r="N2" s="62">
        <v>18</v>
      </c>
      <c r="O2" s="62" t="s">
        <v>44</v>
      </c>
      <c r="P2" s="62">
        <v>8</v>
      </c>
      <c r="Q2" s="62">
        <v>11</v>
      </c>
      <c r="R2" s="62" t="s">
        <v>45</v>
      </c>
      <c r="S2" s="62">
        <v>1</v>
      </c>
      <c r="T2" s="62">
        <v>10</v>
      </c>
      <c r="U2" s="62">
        <v>9</v>
      </c>
      <c r="V2" s="62">
        <v>2</v>
      </c>
      <c r="W2" s="62">
        <v>1</v>
      </c>
      <c r="X2" s="62">
        <v>43</v>
      </c>
      <c r="Y2" s="62">
        <v>23000</v>
      </c>
      <c r="Z2" s="62">
        <v>120000</v>
      </c>
      <c r="AA2" s="62" t="s">
        <v>46</v>
      </c>
      <c r="AB2" s="62" t="s">
        <v>47</v>
      </c>
      <c r="AC2" s="138" t="s">
        <v>48</v>
      </c>
    </row>
    <row r="3" s="138" customFormat="1" spans="1:28">
      <c r="A3" s="62" t="s">
        <v>49</v>
      </c>
      <c r="B3" s="62" t="s">
        <v>50</v>
      </c>
      <c r="C3" s="62" t="s">
        <v>51</v>
      </c>
      <c r="D3" s="62" t="s">
        <v>52</v>
      </c>
      <c r="E3" s="62" t="s">
        <v>53</v>
      </c>
      <c r="F3" s="62" t="s">
        <v>54</v>
      </c>
      <c r="G3" s="62" t="s">
        <v>42</v>
      </c>
      <c r="H3" s="139">
        <v>90000</v>
      </c>
      <c r="I3" s="62">
        <v>2000</v>
      </c>
      <c r="J3" s="62">
        <v>36</v>
      </c>
      <c r="K3" s="62">
        <f t="shared" ref="K3:K37" si="0">+N3+Q3+T3</f>
        <v>28</v>
      </c>
      <c r="L3" s="62" t="s">
        <v>55</v>
      </c>
      <c r="M3" s="62">
        <v>1</v>
      </c>
      <c r="N3" s="62">
        <v>4</v>
      </c>
      <c r="O3" s="62" t="s">
        <v>56</v>
      </c>
      <c r="P3" s="62">
        <v>5</v>
      </c>
      <c r="Q3" s="62">
        <v>13</v>
      </c>
      <c r="R3" s="62" t="s">
        <v>57</v>
      </c>
      <c r="S3" s="62">
        <v>2</v>
      </c>
      <c r="T3" s="62">
        <v>11</v>
      </c>
      <c r="U3" s="62">
        <v>6</v>
      </c>
      <c r="V3" s="62">
        <v>3</v>
      </c>
      <c r="W3" s="62">
        <v>2</v>
      </c>
      <c r="X3" s="62">
        <v>23</v>
      </c>
      <c r="Y3" s="62">
        <v>6000</v>
      </c>
      <c r="Z3" s="62">
        <v>45320</v>
      </c>
      <c r="AA3" s="62" t="s">
        <v>58</v>
      </c>
      <c r="AB3" s="62" t="s">
        <v>59</v>
      </c>
    </row>
    <row r="4" s="138" customFormat="1" spans="1:29">
      <c r="A4" s="62" t="s">
        <v>60</v>
      </c>
      <c r="B4" s="62" t="s">
        <v>61</v>
      </c>
      <c r="C4" s="62" t="s">
        <v>51</v>
      </c>
      <c r="D4" s="62" t="s">
        <v>62</v>
      </c>
      <c r="E4" s="62" t="s">
        <v>63</v>
      </c>
      <c r="F4" s="62" t="s">
        <v>64</v>
      </c>
      <c r="G4" s="62" t="s">
        <v>42</v>
      </c>
      <c r="H4" s="139">
        <v>91006</v>
      </c>
      <c r="I4" s="62">
        <v>700</v>
      </c>
      <c r="J4" s="62">
        <v>15</v>
      </c>
      <c r="K4" s="62">
        <f t="shared" si="0"/>
        <v>11</v>
      </c>
      <c r="L4" s="62" t="s">
        <v>65</v>
      </c>
      <c r="M4" s="62">
        <v>0</v>
      </c>
      <c r="N4" s="62">
        <v>0</v>
      </c>
      <c r="O4" s="62" t="s">
        <v>66</v>
      </c>
      <c r="P4" s="62">
        <v>2</v>
      </c>
      <c r="Q4" s="62">
        <v>6</v>
      </c>
      <c r="R4" s="62" t="s">
        <v>67</v>
      </c>
      <c r="S4" s="62">
        <v>2</v>
      </c>
      <c r="T4" s="62">
        <v>5</v>
      </c>
      <c r="U4" s="62">
        <v>0</v>
      </c>
      <c r="V4" s="62">
        <v>2</v>
      </c>
      <c r="W4" s="62">
        <v>2</v>
      </c>
      <c r="X4" s="62">
        <v>11</v>
      </c>
      <c r="Y4" s="62">
        <v>5500</v>
      </c>
      <c r="Z4" s="62">
        <v>22000</v>
      </c>
      <c r="AA4" s="62" t="s">
        <v>68</v>
      </c>
      <c r="AB4" s="62" t="s">
        <v>69</v>
      </c>
      <c r="AC4" s="138" t="s">
        <v>70</v>
      </c>
    </row>
    <row r="5" s="138" customFormat="1" spans="1:29">
      <c r="A5" s="62" t="s">
        <v>71</v>
      </c>
      <c r="B5" s="62" t="s">
        <v>72</v>
      </c>
      <c r="C5" s="62" t="s">
        <v>73</v>
      </c>
      <c r="D5" s="62" t="s">
        <v>74</v>
      </c>
      <c r="E5" s="62" t="s">
        <v>75</v>
      </c>
      <c r="F5" s="62" t="s">
        <v>76</v>
      </c>
      <c r="G5" s="62" t="s">
        <v>42</v>
      </c>
      <c r="H5" s="139">
        <v>118826</v>
      </c>
      <c r="I5" s="62">
        <v>740</v>
      </c>
      <c r="J5" s="62">
        <v>22</v>
      </c>
      <c r="K5" s="62">
        <f t="shared" si="0"/>
        <v>15</v>
      </c>
      <c r="L5" s="62" t="s">
        <v>77</v>
      </c>
      <c r="M5" s="62">
        <v>2</v>
      </c>
      <c r="N5" s="62">
        <v>8</v>
      </c>
      <c r="O5" s="62" t="s">
        <v>66</v>
      </c>
      <c r="P5" s="62">
        <v>4</v>
      </c>
      <c r="Q5" s="62">
        <v>4</v>
      </c>
      <c r="R5" s="62" t="s">
        <v>78</v>
      </c>
      <c r="S5" s="62">
        <v>1</v>
      </c>
      <c r="T5" s="62">
        <v>3</v>
      </c>
      <c r="U5" s="62">
        <v>0</v>
      </c>
      <c r="V5" s="62">
        <v>2</v>
      </c>
      <c r="W5" s="62">
        <v>1</v>
      </c>
      <c r="X5" s="62">
        <v>19</v>
      </c>
      <c r="Y5" s="62">
        <v>1800</v>
      </c>
      <c r="Z5" s="62">
        <v>38000</v>
      </c>
      <c r="AA5" s="62" t="s">
        <v>79</v>
      </c>
      <c r="AB5" s="62" t="s">
        <v>80</v>
      </c>
      <c r="AC5" s="138" t="s">
        <v>81</v>
      </c>
    </row>
    <row r="6" s="138" customFormat="1" spans="1:29">
      <c r="A6" s="62" t="s">
        <v>82</v>
      </c>
      <c r="B6" s="62" t="s">
        <v>83</v>
      </c>
      <c r="C6" s="62" t="s">
        <v>84</v>
      </c>
      <c r="D6" s="62" t="s">
        <v>85</v>
      </c>
      <c r="E6" s="62" t="s">
        <v>86</v>
      </c>
      <c r="F6" s="62" t="s">
        <v>87</v>
      </c>
      <c r="G6" s="62" t="s">
        <v>42</v>
      </c>
      <c r="H6" s="139">
        <v>84000</v>
      </c>
      <c r="I6" s="62">
        <v>360</v>
      </c>
      <c r="J6" s="62">
        <v>16</v>
      </c>
      <c r="K6" s="62">
        <f t="shared" si="0"/>
        <v>12</v>
      </c>
      <c r="L6" s="62" t="s">
        <v>65</v>
      </c>
      <c r="M6" s="62">
        <v>0</v>
      </c>
      <c r="N6" s="62">
        <v>0</v>
      </c>
      <c r="O6" s="62" t="s">
        <v>88</v>
      </c>
      <c r="P6" s="62">
        <v>4</v>
      </c>
      <c r="Q6" s="62">
        <v>10</v>
      </c>
      <c r="R6" s="62" t="s">
        <v>89</v>
      </c>
      <c r="S6" s="62">
        <v>0</v>
      </c>
      <c r="T6" s="62">
        <v>2</v>
      </c>
      <c r="U6" s="62">
        <v>2</v>
      </c>
      <c r="V6" s="62">
        <v>2</v>
      </c>
      <c r="W6" s="62">
        <v>1</v>
      </c>
      <c r="X6" s="62">
        <v>11</v>
      </c>
      <c r="Y6" s="62">
        <v>6000</v>
      </c>
      <c r="Z6" s="62">
        <v>25100</v>
      </c>
      <c r="AA6" s="62" t="s">
        <v>90</v>
      </c>
      <c r="AB6" s="62" t="s">
        <v>91</v>
      </c>
      <c r="AC6" s="138" t="s">
        <v>92</v>
      </c>
    </row>
    <row r="7" s="138" customFormat="1" spans="1:20">
      <c r="A7" s="62" t="s">
        <v>93</v>
      </c>
      <c r="B7" s="62" t="s">
        <v>94</v>
      </c>
      <c r="C7" s="62" t="s">
        <v>95</v>
      </c>
      <c r="D7" s="62" t="s">
        <v>96</v>
      </c>
      <c r="E7" s="62" t="s">
        <v>97</v>
      </c>
      <c r="F7" s="62" t="s">
        <v>98</v>
      </c>
      <c r="G7" s="62" t="s">
        <v>42</v>
      </c>
      <c r="J7" s="62">
        <v>7</v>
      </c>
      <c r="K7" s="62">
        <f t="shared" si="0"/>
        <v>3</v>
      </c>
      <c r="L7" s="62" t="s">
        <v>65</v>
      </c>
      <c r="M7" s="62">
        <v>0</v>
      </c>
      <c r="N7" s="62">
        <v>0</v>
      </c>
      <c r="O7" s="62" t="s">
        <v>99</v>
      </c>
      <c r="P7" s="62">
        <v>2</v>
      </c>
      <c r="Q7" s="62">
        <v>2</v>
      </c>
      <c r="R7" s="62" t="s">
        <v>100</v>
      </c>
      <c r="S7" s="62">
        <v>2</v>
      </c>
      <c r="T7" s="62">
        <v>1</v>
      </c>
    </row>
    <row r="8" s="138" customFormat="1" spans="1:20">
      <c r="A8" s="62" t="s">
        <v>101</v>
      </c>
      <c r="B8" s="62" t="s">
        <v>102</v>
      </c>
      <c r="C8" s="62" t="s">
        <v>95</v>
      </c>
      <c r="D8" s="62" t="s">
        <v>103</v>
      </c>
      <c r="E8" s="62" t="s">
        <v>104</v>
      </c>
      <c r="F8" s="62" t="s">
        <v>105</v>
      </c>
      <c r="G8" s="62" t="s">
        <v>42</v>
      </c>
      <c r="J8" s="62">
        <v>13</v>
      </c>
      <c r="K8" s="62">
        <f t="shared" si="0"/>
        <v>3</v>
      </c>
      <c r="L8" s="62" t="s">
        <v>65</v>
      </c>
      <c r="M8" s="62">
        <v>0</v>
      </c>
      <c r="N8" s="62">
        <v>0</v>
      </c>
      <c r="O8" s="62" t="s">
        <v>66</v>
      </c>
      <c r="P8" s="62">
        <v>2</v>
      </c>
      <c r="Q8" s="62">
        <v>2</v>
      </c>
      <c r="R8" s="62" t="s">
        <v>106</v>
      </c>
      <c r="S8" s="62">
        <v>1</v>
      </c>
      <c r="T8" s="62">
        <v>1</v>
      </c>
    </row>
    <row r="9" s="138" customFormat="1" spans="1:37">
      <c r="A9" s="62" t="s">
        <v>107</v>
      </c>
      <c r="B9" s="62" t="s">
        <v>108</v>
      </c>
      <c r="C9" s="62" t="s">
        <v>109</v>
      </c>
      <c r="D9" s="62" t="s">
        <v>110</v>
      </c>
      <c r="E9" s="62" t="s">
        <v>111</v>
      </c>
      <c r="F9" s="62" t="s">
        <v>112</v>
      </c>
      <c r="G9" s="62" t="s">
        <v>113</v>
      </c>
      <c r="H9" s="62">
        <v>117315</v>
      </c>
      <c r="I9" s="62">
        <v>1780</v>
      </c>
      <c r="J9" s="62">
        <v>57</v>
      </c>
      <c r="K9" s="62">
        <f t="shared" si="0"/>
        <v>47</v>
      </c>
      <c r="L9" s="62" t="s">
        <v>114</v>
      </c>
      <c r="M9" s="62">
        <v>0</v>
      </c>
      <c r="N9" s="62">
        <v>0</v>
      </c>
      <c r="O9" s="62" t="s">
        <v>115</v>
      </c>
      <c r="P9" s="62">
        <v>6</v>
      </c>
      <c r="Q9" s="62">
        <v>28</v>
      </c>
      <c r="R9" s="62" t="s">
        <v>116</v>
      </c>
      <c r="S9" s="62">
        <v>4</v>
      </c>
      <c r="T9" s="62">
        <v>19</v>
      </c>
      <c r="U9" s="62">
        <v>0</v>
      </c>
      <c r="V9" s="62">
        <v>6</v>
      </c>
      <c r="W9" s="62">
        <v>0</v>
      </c>
      <c r="X9" s="62">
        <v>36</v>
      </c>
      <c r="Y9" s="62">
        <v>2200</v>
      </c>
      <c r="Z9" s="62">
        <v>5500</v>
      </c>
      <c r="AA9" s="62" t="s">
        <v>117</v>
      </c>
      <c r="AB9" s="62" t="s">
        <v>118</v>
      </c>
      <c r="AC9" s="138" t="s">
        <v>119</v>
      </c>
      <c r="AI9" s="62" t="s">
        <v>120</v>
      </c>
      <c r="AK9" s="62" t="s">
        <v>121</v>
      </c>
    </row>
    <row r="10" s="138" customFormat="1" spans="1:37">
      <c r="A10" s="62" t="s">
        <v>122</v>
      </c>
      <c r="B10" s="62" t="s">
        <v>123</v>
      </c>
      <c r="C10" s="62" t="s">
        <v>109</v>
      </c>
      <c r="D10" s="62" t="s">
        <v>124</v>
      </c>
      <c r="E10" s="62" t="s">
        <v>125</v>
      </c>
      <c r="F10" s="62" t="s">
        <v>126</v>
      </c>
      <c r="G10" s="62" t="s">
        <v>113</v>
      </c>
      <c r="H10" s="139">
        <v>116254</v>
      </c>
      <c r="I10" s="62">
        <v>1800</v>
      </c>
      <c r="J10" s="62">
        <v>30</v>
      </c>
      <c r="K10" s="62">
        <f t="shared" si="0"/>
        <v>26</v>
      </c>
      <c r="L10" s="62" t="s">
        <v>127</v>
      </c>
      <c r="M10" s="62">
        <v>1</v>
      </c>
      <c r="N10" s="62">
        <v>17</v>
      </c>
      <c r="O10" s="62" t="s">
        <v>128</v>
      </c>
      <c r="P10" s="62">
        <v>1</v>
      </c>
      <c r="Q10" s="62">
        <v>5</v>
      </c>
      <c r="R10" s="62" t="s">
        <v>129</v>
      </c>
      <c r="S10" s="62">
        <v>2</v>
      </c>
      <c r="T10" s="62">
        <v>4</v>
      </c>
      <c r="U10" s="62">
        <v>0</v>
      </c>
      <c r="V10" s="62">
        <v>6</v>
      </c>
      <c r="W10" s="62">
        <v>1</v>
      </c>
      <c r="X10" s="62">
        <v>22</v>
      </c>
      <c r="Y10" s="62">
        <v>2000</v>
      </c>
      <c r="Z10" s="62">
        <v>4000</v>
      </c>
      <c r="AA10" s="62" t="s">
        <v>130</v>
      </c>
      <c r="AB10" s="62" t="s">
        <v>131</v>
      </c>
      <c r="AC10" s="138" t="s">
        <v>132</v>
      </c>
      <c r="AH10" s="62">
        <v>112</v>
      </c>
      <c r="AI10" s="62" t="s">
        <v>133</v>
      </c>
      <c r="AK10" s="62" t="s">
        <v>134</v>
      </c>
    </row>
    <row r="11" s="138" customFormat="1" spans="1:37">
      <c r="A11" s="62" t="s">
        <v>135</v>
      </c>
      <c r="B11" s="62" t="s">
        <v>136</v>
      </c>
      <c r="C11" s="62" t="s">
        <v>109</v>
      </c>
      <c r="D11" s="62" t="s">
        <v>137</v>
      </c>
      <c r="E11" s="62" t="s">
        <v>138</v>
      </c>
      <c r="F11" s="62" t="s">
        <v>139</v>
      </c>
      <c r="G11" s="62" t="s">
        <v>113</v>
      </c>
      <c r="H11" s="62">
        <v>116246</v>
      </c>
      <c r="I11" s="62">
        <v>4070</v>
      </c>
      <c r="J11" s="62">
        <v>37</v>
      </c>
      <c r="K11" s="62">
        <f t="shared" si="0"/>
        <v>34</v>
      </c>
      <c r="L11" s="62" t="s">
        <v>140</v>
      </c>
      <c r="M11" s="62">
        <v>1</v>
      </c>
      <c r="N11" s="62">
        <v>14</v>
      </c>
      <c r="O11" s="62" t="s">
        <v>141</v>
      </c>
      <c r="P11" s="62">
        <v>1</v>
      </c>
      <c r="Q11" s="62">
        <v>4</v>
      </c>
      <c r="R11" s="62" t="s">
        <v>142</v>
      </c>
      <c r="S11" s="62">
        <v>1</v>
      </c>
      <c r="T11" s="62">
        <v>16</v>
      </c>
      <c r="U11" s="62">
        <v>8</v>
      </c>
      <c r="V11" s="62">
        <v>8</v>
      </c>
      <c r="W11" s="62">
        <v>8</v>
      </c>
      <c r="X11" s="62">
        <v>35</v>
      </c>
      <c r="Y11" s="62">
        <v>3500</v>
      </c>
      <c r="Z11" s="62">
        <v>4000</v>
      </c>
      <c r="AA11" s="62" t="s">
        <v>143</v>
      </c>
      <c r="AB11" s="62" t="s">
        <v>144</v>
      </c>
      <c r="AC11" s="138" t="s">
        <v>145</v>
      </c>
      <c r="AH11" s="62">
        <v>200</v>
      </c>
      <c r="AI11" s="62" t="s">
        <v>133</v>
      </c>
      <c r="AJ11" s="62" t="s">
        <v>146</v>
      </c>
      <c r="AK11" s="62" t="s">
        <v>147</v>
      </c>
    </row>
    <row r="12" s="138" customFormat="1" spans="1:37">
      <c r="A12" s="62" t="s">
        <v>148</v>
      </c>
      <c r="B12" s="62" t="s">
        <v>149</v>
      </c>
      <c r="C12" s="62" t="s">
        <v>109</v>
      </c>
      <c r="D12" s="62" t="s">
        <v>150</v>
      </c>
      <c r="E12" s="62" t="s">
        <v>151</v>
      </c>
      <c r="F12" s="62" t="s">
        <v>152</v>
      </c>
      <c r="G12" s="62" t="s">
        <v>113</v>
      </c>
      <c r="H12" s="139">
        <v>66001</v>
      </c>
      <c r="I12" s="62">
        <v>1150</v>
      </c>
      <c r="J12" s="62">
        <v>19</v>
      </c>
      <c r="K12" s="62">
        <f t="shared" si="0"/>
        <v>16</v>
      </c>
      <c r="L12" s="62" t="s">
        <v>153</v>
      </c>
      <c r="M12" s="62">
        <v>1</v>
      </c>
      <c r="N12" s="62">
        <v>3</v>
      </c>
      <c r="O12" s="62" t="s">
        <v>154</v>
      </c>
      <c r="P12" s="62">
        <v>1</v>
      </c>
      <c r="Q12" s="62">
        <v>8</v>
      </c>
      <c r="R12" s="62" t="s">
        <v>155</v>
      </c>
      <c r="S12" s="62">
        <v>1</v>
      </c>
      <c r="T12" s="62">
        <v>5</v>
      </c>
      <c r="U12" s="62">
        <v>0</v>
      </c>
      <c r="V12" s="62" t="s">
        <v>156</v>
      </c>
      <c r="W12" s="62" t="s">
        <v>157</v>
      </c>
      <c r="X12" s="62">
        <v>17</v>
      </c>
      <c r="Y12" s="62">
        <v>1292</v>
      </c>
      <c r="Z12" s="62">
        <v>3487</v>
      </c>
      <c r="AA12" s="62" t="s">
        <v>158</v>
      </c>
      <c r="AB12" s="62" t="s">
        <v>159</v>
      </c>
      <c r="AC12" s="138" t="s">
        <v>160</v>
      </c>
      <c r="AH12" s="62">
        <v>16</v>
      </c>
      <c r="AI12" s="62" t="s">
        <v>161</v>
      </c>
      <c r="AK12" s="62" t="s">
        <v>162</v>
      </c>
    </row>
    <row r="13" s="138" customFormat="1" spans="1:37">
      <c r="A13" s="62" t="s">
        <v>163</v>
      </c>
      <c r="B13" s="62" t="s">
        <v>164</v>
      </c>
      <c r="C13" s="62" t="s">
        <v>109</v>
      </c>
      <c r="D13" s="62" t="s">
        <v>165</v>
      </c>
      <c r="E13" s="62" t="s">
        <v>166</v>
      </c>
      <c r="F13" s="62" t="s">
        <v>167</v>
      </c>
      <c r="G13" s="62" t="s">
        <v>113</v>
      </c>
      <c r="H13" s="139">
        <v>27006</v>
      </c>
      <c r="I13" s="62">
        <v>2000</v>
      </c>
      <c r="J13" s="62">
        <v>11</v>
      </c>
      <c r="K13" s="62">
        <f t="shared" si="0"/>
        <v>9</v>
      </c>
      <c r="L13" s="62" t="s">
        <v>168</v>
      </c>
      <c r="M13" s="62">
        <v>1</v>
      </c>
      <c r="N13" s="62">
        <v>4</v>
      </c>
      <c r="O13" s="62" t="s">
        <v>169</v>
      </c>
      <c r="P13" s="62">
        <v>1</v>
      </c>
      <c r="Q13" s="62">
        <v>5</v>
      </c>
      <c r="R13" s="62">
        <v>0</v>
      </c>
      <c r="S13" s="62">
        <v>0</v>
      </c>
      <c r="T13" s="62">
        <v>0</v>
      </c>
      <c r="U13" s="62">
        <v>4</v>
      </c>
      <c r="V13" s="62">
        <v>5</v>
      </c>
      <c r="W13" s="62">
        <v>4</v>
      </c>
      <c r="X13" s="62">
        <v>11</v>
      </c>
      <c r="Y13" s="62">
        <v>2600</v>
      </c>
      <c r="Z13" s="62">
        <v>1300</v>
      </c>
      <c r="AA13" s="62" t="s">
        <v>170</v>
      </c>
      <c r="AB13" s="62" t="s">
        <v>171</v>
      </c>
      <c r="AH13" s="62">
        <v>29.05</v>
      </c>
      <c r="AI13" s="62" t="s">
        <v>172</v>
      </c>
      <c r="AK13" s="62" t="s">
        <v>173</v>
      </c>
    </row>
    <row r="14" s="138" customFormat="1" spans="1:37">
      <c r="A14" s="62" t="s">
        <v>174</v>
      </c>
      <c r="B14" s="62" t="s">
        <v>175</v>
      </c>
      <c r="C14" s="62" t="s">
        <v>176</v>
      </c>
      <c r="D14" s="62" t="s">
        <v>177</v>
      </c>
      <c r="E14" s="62" t="s">
        <v>178</v>
      </c>
      <c r="F14" s="62" t="s">
        <v>179</v>
      </c>
      <c r="G14" s="62" t="s">
        <v>113</v>
      </c>
      <c r="H14" s="139">
        <v>63002</v>
      </c>
      <c r="I14" s="62">
        <v>1000</v>
      </c>
      <c r="J14" s="62">
        <v>12</v>
      </c>
      <c r="K14" s="62">
        <f t="shared" si="0"/>
        <v>9</v>
      </c>
      <c r="L14" s="62" t="s">
        <v>180</v>
      </c>
      <c r="M14" s="62">
        <v>0</v>
      </c>
      <c r="N14" s="62">
        <v>0</v>
      </c>
      <c r="O14" s="62" t="s">
        <v>181</v>
      </c>
      <c r="P14" s="62">
        <v>1</v>
      </c>
      <c r="Q14" s="62">
        <v>3</v>
      </c>
      <c r="R14" s="62" t="s">
        <v>182</v>
      </c>
      <c r="S14" s="62">
        <v>2</v>
      </c>
      <c r="T14" s="62">
        <v>6</v>
      </c>
      <c r="U14" s="62" t="s">
        <v>183</v>
      </c>
      <c r="V14" s="62" t="s">
        <v>184</v>
      </c>
      <c r="W14" s="62" t="s">
        <v>184</v>
      </c>
      <c r="X14" s="62">
        <v>6</v>
      </c>
      <c r="Y14" s="62">
        <v>400</v>
      </c>
      <c r="Z14" s="62">
        <v>2000</v>
      </c>
      <c r="AA14" s="62" t="s">
        <v>185</v>
      </c>
      <c r="AB14" s="62" t="s">
        <v>186</v>
      </c>
      <c r="AK14" s="62" t="s">
        <v>187</v>
      </c>
    </row>
    <row r="15" s="138" customFormat="1" spans="1:35">
      <c r="A15" s="62" t="s">
        <v>188</v>
      </c>
      <c r="B15" s="62" t="s">
        <v>189</v>
      </c>
      <c r="C15" s="62" t="s">
        <v>109</v>
      </c>
      <c r="D15" s="62" t="s">
        <v>190</v>
      </c>
      <c r="E15" s="62" t="s">
        <v>191</v>
      </c>
      <c r="F15" s="62" t="s">
        <v>192</v>
      </c>
      <c r="G15" s="62" t="s">
        <v>193</v>
      </c>
      <c r="H15" s="62">
        <v>114871</v>
      </c>
      <c r="J15" s="62">
        <v>60</v>
      </c>
      <c r="K15" s="62">
        <f t="shared" si="0"/>
        <v>44</v>
      </c>
      <c r="L15" s="62" t="s">
        <v>194</v>
      </c>
      <c r="M15" s="62">
        <v>2</v>
      </c>
      <c r="N15" s="62">
        <v>12</v>
      </c>
      <c r="O15" s="62" t="s">
        <v>195</v>
      </c>
      <c r="P15" s="62">
        <v>4</v>
      </c>
      <c r="Q15" s="62">
        <v>16</v>
      </c>
      <c r="R15" s="62" t="s">
        <v>196</v>
      </c>
      <c r="S15" s="62">
        <v>5</v>
      </c>
      <c r="T15" s="62">
        <v>16</v>
      </c>
      <c r="U15" s="62">
        <v>21</v>
      </c>
      <c r="V15" s="62">
        <v>0</v>
      </c>
      <c r="W15" s="62">
        <v>0</v>
      </c>
      <c r="X15" s="62">
        <v>37</v>
      </c>
      <c r="Y15" s="62">
        <v>25281</v>
      </c>
      <c r="Z15" s="62">
        <v>15916</v>
      </c>
      <c r="AA15" s="62" t="s">
        <v>197</v>
      </c>
      <c r="AB15" s="62" t="s">
        <v>198</v>
      </c>
      <c r="AC15" s="138" t="s">
        <v>199</v>
      </c>
      <c r="AI15" s="62" t="s">
        <v>133</v>
      </c>
    </row>
    <row r="16" s="138" customFormat="1" spans="1:35">
      <c r="A16" s="62" t="s">
        <v>200</v>
      </c>
      <c r="B16" s="62" t="s">
        <v>201</v>
      </c>
      <c r="C16" s="62" t="s">
        <v>202</v>
      </c>
      <c r="D16" s="62" t="s">
        <v>203</v>
      </c>
      <c r="E16" s="62" t="s">
        <v>204</v>
      </c>
      <c r="F16" s="62" t="s">
        <v>205</v>
      </c>
      <c r="G16" s="62" t="s">
        <v>193</v>
      </c>
      <c r="H16" s="62">
        <v>118222</v>
      </c>
      <c r="I16" s="62">
        <v>2623</v>
      </c>
      <c r="J16" s="62">
        <v>52</v>
      </c>
      <c r="K16" s="62">
        <f t="shared" si="0"/>
        <v>39</v>
      </c>
      <c r="L16" s="62" t="s">
        <v>206</v>
      </c>
      <c r="M16" s="62">
        <v>2</v>
      </c>
      <c r="N16" s="62">
        <v>11</v>
      </c>
      <c r="O16" s="62" t="s">
        <v>207</v>
      </c>
      <c r="P16" s="62">
        <v>4</v>
      </c>
      <c r="Q16" s="62">
        <v>12</v>
      </c>
      <c r="R16" s="62" t="s">
        <v>208</v>
      </c>
      <c r="S16" s="62">
        <v>4</v>
      </c>
      <c r="T16" s="62">
        <v>16</v>
      </c>
      <c r="U16" s="62">
        <v>14</v>
      </c>
      <c r="V16" s="62">
        <v>0</v>
      </c>
      <c r="W16" s="62">
        <v>0</v>
      </c>
      <c r="X16" s="62">
        <v>28</v>
      </c>
      <c r="Y16" s="62">
        <v>8243</v>
      </c>
      <c r="Z16" s="62">
        <v>5011</v>
      </c>
      <c r="AA16" s="62" t="s">
        <v>209</v>
      </c>
      <c r="AB16" s="62" t="s">
        <v>210</v>
      </c>
      <c r="AC16" s="138" t="s">
        <v>211</v>
      </c>
      <c r="AI16" s="62" t="s">
        <v>133</v>
      </c>
    </row>
    <row r="17" s="138" customFormat="1" spans="1:35">
      <c r="A17" s="62" t="s">
        <v>212</v>
      </c>
      <c r="B17" s="62" t="s">
        <v>213</v>
      </c>
      <c r="C17" s="62" t="s">
        <v>109</v>
      </c>
      <c r="D17" s="62" t="s">
        <v>214</v>
      </c>
      <c r="E17" s="62" t="s">
        <v>215</v>
      </c>
      <c r="F17" s="62" t="s">
        <v>216</v>
      </c>
      <c r="G17" s="62" t="s">
        <v>193</v>
      </c>
      <c r="H17" s="62">
        <v>118235</v>
      </c>
      <c r="I17" s="62">
        <v>16000</v>
      </c>
      <c r="J17" s="62">
        <v>69</v>
      </c>
      <c r="K17" s="62">
        <f t="shared" si="0"/>
        <v>57</v>
      </c>
      <c r="L17" s="62" t="s">
        <v>217</v>
      </c>
      <c r="M17" s="62">
        <v>4</v>
      </c>
      <c r="N17" s="62">
        <v>15</v>
      </c>
      <c r="O17" s="62" t="s">
        <v>218</v>
      </c>
      <c r="P17" s="62">
        <v>4</v>
      </c>
      <c r="Q17" s="62">
        <v>20</v>
      </c>
      <c r="R17" s="62" t="s">
        <v>219</v>
      </c>
      <c r="S17" s="62">
        <v>4</v>
      </c>
      <c r="T17" s="62">
        <v>22</v>
      </c>
      <c r="U17" s="62">
        <v>22</v>
      </c>
      <c r="V17" s="62">
        <v>0</v>
      </c>
      <c r="W17" s="62">
        <v>0</v>
      </c>
      <c r="X17" s="62">
        <v>29</v>
      </c>
      <c r="Y17" s="62">
        <v>15200</v>
      </c>
      <c r="Z17" s="62">
        <v>9500</v>
      </c>
      <c r="AA17" s="62" t="s">
        <v>220</v>
      </c>
      <c r="AB17" s="62" t="s">
        <v>221</v>
      </c>
      <c r="AC17" s="138" t="s">
        <v>222</v>
      </c>
      <c r="AI17" s="62" t="s">
        <v>133</v>
      </c>
    </row>
    <row r="18" s="138" customFormat="1" spans="1:35">
      <c r="A18" s="62" t="s">
        <v>223</v>
      </c>
      <c r="B18" s="62" t="s">
        <v>224</v>
      </c>
      <c r="C18" s="62" t="s">
        <v>109</v>
      </c>
      <c r="D18" s="62" t="s">
        <v>225</v>
      </c>
      <c r="E18" s="62" t="s">
        <v>226</v>
      </c>
      <c r="F18" s="62" t="s">
        <v>227</v>
      </c>
      <c r="G18" s="62" t="s">
        <v>193</v>
      </c>
      <c r="H18" s="62">
        <v>118249</v>
      </c>
      <c r="I18" s="62">
        <v>2356</v>
      </c>
      <c r="J18" s="140">
        <v>54</v>
      </c>
      <c r="K18" s="62">
        <f t="shared" si="0"/>
        <v>42</v>
      </c>
      <c r="L18" s="140" t="s">
        <v>228</v>
      </c>
      <c r="M18" s="140">
        <v>3</v>
      </c>
      <c r="N18" s="140">
        <v>11</v>
      </c>
      <c r="O18" s="140" t="s">
        <v>229</v>
      </c>
      <c r="P18" s="140">
        <v>4</v>
      </c>
      <c r="Q18" s="140">
        <v>15</v>
      </c>
      <c r="R18" s="140" t="s">
        <v>230</v>
      </c>
      <c r="S18" s="140">
        <v>5</v>
      </c>
      <c r="T18" s="140">
        <v>16</v>
      </c>
      <c r="U18" s="140">
        <v>31</v>
      </c>
      <c r="V18" s="62">
        <v>0</v>
      </c>
      <c r="W18" s="62">
        <v>0</v>
      </c>
      <c r="X18" s="62">
        <v>16</v>
      </c>
      <c r="Y18" s="62">
        <v>8500</v>
      </c>
      <c r="Z18" s="62">
        <v>6900</v>
      </c>
      <c r="AA18" s="62" t="s">
        <v>231</v>
      </c>
      <c r="AB18" s="62" t="s">
        <v>232</v>
      </c>
      <c r="AC18" s="138" t="s">
        <v>233</v>
      </c>
      <c r="AI18" s="62" t="s">
        <v>133</v>
      </c>
    </row>
    <row r="19" s="138" customFormat="1" spans="1:35">
      <c r="A19" s="62" t="s">
        <v>234</v>
      </c>
      <c r="B19" s="62" t="s">
        <v>235</v>
      </c>
      <c r="C19" s="62" t="s">
        <v>202</v>
      </c>
      <c r="D19" s="62" t="s">
        <v>236</v>
      </c>
      <c r="E19" s="62" t="s">
        <v>237</v>
      </c>
      <c r="F19" s="62" t="s">
        <v>238</v>
      </c>
      <c r="G19" s="62" t="s">
        <v>193</v>
      </c>
      <c r="H19" s="62">
        <v>121746</v>
      </c>
      <c r="I19" s="62">
        <v>2637</v>
      </c>
      <c r="J19" s="140">
        <v>54</v>
      </c>
      <c r="K19" s="62">
        <f t="shared" si="0"/>
        <v>40</v>
      </c>
      <c r="L19" s="140" t="s">
        <v>228</v>
      </c>
      <c r="M19" s="140">
        <v>3</v>
      </c>
      <c r="N19" s="140">
        <v>8</v>
      </c>
      <c r="O19" s="140" t="s">
        <v>229</v>
      </c>
      <c r="P19" s="140">
        <v>4</v>
      </c>
      <c r="Q19" s="140">
        <v>17</v>
      </c>
      <c r="R19" s="140" t="s">
        <v>239</v>
      </c>
      <c r="S19" s="140">
        <v>4</v>
      </c>
      <c r="T19" s="140">
        <v>15</v>
      </c>
      <c r="U19" s="140">
        <v>26</v>
      </c>
      <c r="V19" s="62">
        <v>0</v>
      </c>
      <c r="W19" s="62">
        <v>0</v>
      </c>
      <c r="X19" s="62">
        <v>13</v>
      </c>
      <c r="Y19" s="62">
        <v>12000</v>
      </c>
      <c r="Z19" s="62">
        <v>10000</v>
      </c>
      <c r="AA19" s="62" t="s">
        <v>240</v>
      </c>
      <c r="AB19" s="62" t="s">
        <v>241</v>
      </c>
      <c r="AC19" s="138" t="s">
        <v>242</v>
      </c>
      <c r="AI19" s="62" t="s">
        <v>133</v>
      </c>
    </row>
    <row r="20" s="138" customFormat="1" spans="1:29">
      <c r="A20" s="62" t="s">
        <v>243</v>
      </c>
      <c r="B20" s="62" t="s">
        <v>244</v>
      </c>
      <c r="C20" s="62" t="s">
        <v>245</v>
      </c>
      <c r="D20" s="62" t="s">
        <v>246</v>
      </c>
      <c r="E20" s="62" t="s">
        <v>247</v>
      </c>
      <c r="F20" s="62" t="s">
        <v>248</v>
      </c>
      <c r="G20" s="62" t="s">
        <v>249</v>
      </c>
      <c r="H20" s="62">
        <v>116275</v>
      </c>
      <c r="I20" s="62">
        <v>1500</v>
      </c>
      <c r="J20" s="141">
        <v>60</v>
      </c>
      <c r="K20" s="62">
        <f t="shared" si="0"/>
        <v>44</v>
      </c>
      <c r="L20" s="142" t="s">
        <v>250</v>
      </c>
      <c r="M20" s="141">
        <v>2</v>
      </c>
      <c r="N20" s="141">
        <v>20</v>
      </c>
      <c r="O20" s="142" t="s">
        <v>251</v>
      </c>
      <c r="P20" s="141">
        <v>3</v>
      </c>
      <c r="Q20" s="141">
        <v>12</v>
      </c>
      <c r="R20" s="141" t="s">
        <v>252</v>
      </c>
      <c r="S20" s="141">
        <v>3</v>
      </c>
      <c r="T20" s="141">
        <v>12</v>
      </c>
      <c r="U20" s="140" t="s">
        <v>253</v>
      </c>
      <c r="V20" s="62">
        <v>13</v>
      </c>
      <c r="W20" s="62" t="s">
        <v>253</v>
      </c>
      <c r="X20" s="62" t="s">
        <v>253</v>
      </c>
      <c r="Y20" s="62">
        <v>2300</v>
      </c>
      <c r="Z20" s="62">
        <v>3400</v>
      </c>
      <c r="AA20" s="62" t="s">
        <v>254</v>
      </c>
      <c r="AB20" s="62" t="s">
        <v>255</v>
      </c>
      <c r="AC20" s="138" t="s">
        <v>256</v>
      </c>
    </row>
    <row r="21" s="138" customFormat="1" spans="1:28">
      <c r="A21" s="62" t="s">
        <v>257</v>
      </c>
      <c r="B21" s="62" t="s">
        <v>258</v>
      </c>
      <c r="C21" s="62" t="s">
        <v>259</v>
      </c>
      <c r="D21" s="62" t="s">
        <v>260</v>
      </c>
      <c r="E21" s="62" t="s">
        <v>261</v>
      </c>
      <c r="F21" s="62" t="s">
        <v>262</v>
      </c>
      <c r="G21" s="62" t="s">
        <v>249</v>
      </c>
      <c r="H21" s="62">
        <v>54003</v>
      </c>
      <c r="I21" s="62">
        <v>250</v>
      </c>
      <c r="J21" s="141">
        <v>24</v>
      </c>
      <c r="K21" s="62">
        <f t="shared" si="0"/>
        <v>18</v>
      </c>
      <c r="L21" s="141" t="s">
        <v>263</v>
      </c>
      <c r="M21" s="62">
        <v>0</v>
      </c>
      <c r="N21" s="62">
        <v>0</v>
      </c>
      <c r="O21" s="141" t="s">
        <v>264</v>
      </c>
      <c r="P21" s="141">
        <v>3</v>
      </c>
      <c r="Q21" s="141">
        <v>11</v>
      </c>
      <c r="R21" s="141" t="s">
        <v>265</v>
      </c>
      <c r="S21" s="141">
        <v>1</v>
      </c>
      <c r="T21" s="141">
        <v>7</v>
      </c>
      <c r="U21" s="140" t="s">
        <v>253</v>
      </c>
      <c r="V21" s="62">
        <v>6</v>
      </c>
      <c r="W21" s="62" t="s">
        <v>253</v>
      </c>
      <c r="X21" s="62" t="s">
        <v>253</v>
      </c>
      <c r="Y21" s="62">
        <v>900</v>
      </c>
      <c r="Z21" s="62">
        <v>1500</v>
      </c>
      <c r="AA21" s="62" t="s">
        <v>266</v>
      </c>
      <c r="AB21" s="62" t="s">
        <v>267</v>
      </c>
    </row>
    <row r="22" s="138" customFormat="1" spans="1:29">
      <c r="A22" s="62" t="s">
        <v>268</v>
      </c>
      <c r="B22" s="62" t="s">
        <v>269</v>
      </c>
      <c r="C22" s="62" t="s">
        <v>270</v>
      </c>
      <c r="D22" s="62" t="s">
        <v>271</v>
      </c>
      <c r="E22" s="62" t="s">
        <v>272</v>
      </c>
      <c r="F22" s="62" t="s">
        <v>273</v>
      </c>
      <c r="G22" s="62" t="s">
        <v>249</v>
      </c>
      <c r="H22" s="62">
        <v>57002</v>
      </c>
      <c r="I22" s="62">
        <v>1000</v>
      </c>
      <c r="J22" s="141">
        <v>20</v>
      </c>
      <c r="K22" s="62">
        <f t="shared" si="0"/>
        <v>16</v>
      </c>
      <c r="L22" s="142" t="s">
        <v>274</v>
      </c>
      <c r="M22" s="141">
        <v>2</v>
      </c>
      <c r="N22" s="141">
        <v>8</v>
      </c>
      <c r="O22" s="142" t="s">
        <v>275</v>
      </c>
      <c r="P22" s="141">
        <v>1</v>
      </c>
      <c r="Q22" s="141">
        <v>4</v>
      </c>
      <c r="R22" s="141" t="s">
        <v>276</v>
      </c>
      <c r="S22" s="141">
        <v>1</v>
      </c>
      <c r="T22" s="141">
        <v>4</v>
      </c>
      <c r="U22" s="140" t="s">
        <v>277</v>
      </c>
      <c r="V22" s="62" t="s">
        <v>277</v>
      </c>
      <c r="W22" s="62" t="s">
        <v>277</v>
      </c>
      <c r="X22" s="62" t="s">
        <v>277</v>
      </c>
      <c r="Y22" s="62">
        <v>1500</v>
      </c>
      <c r="Z22" s="62">
        <v>1850</v>
      </c>
      <c r="AA22" s="62" t="s">
        <v>278</v>
      </c>
      <c r="AB22" s="62" t="s">
        <v>279</v>
      </c>
      <c r="AC22" s="138" t="s">
        <v>280</v>
      </c>
    </row>
    <row r="23" s="138" customFormat="1" spans="1:28">
      <c r="A23" s="62" t="s">
        <v>281</v>
      </c>
      <c r="B23" s="62" t="s">
        <v>282</v>
      </c>
      <c r="C23" s="62" t="s">
        <v>283</v>
      </c>
      <c r="D23" s="62" t="s">
        <v>284</v>
      </c>
      <c r="E23" s="62" t="s">
        <v>285</v>
      </c>
      <c r="F23" s="62" t="s">
        <v>286</v>
      </c>
      <c r="G23" s="62" t="s">
        <v>249</v>
      </c>
      <c r="H23" s="62">
        <v>47007</v>
      </c>
      <c r="I23" s="62">
        <v>234</v>
      </c>
      <c r="J23" s="141">
        <v>10</v>
      </c>
      <c r="K23" s="62">
        <f t="shared" si="0"/>
        <v>6</v>
      </c>
      <c r="L23" s="142" t="s">
        <v>287</v>
      </c>
      <c r="M23" s="141">
        <v>1</v>
      </c>
      <c r="N23" s="141">
        <v>4</v>
      </c>
      <c r="O23" s="142" t="s">
        <v>288</v>
      </c>
      <c r="P23" s="141">
        <v>1</v>
      </c>
      <c r="Q23" s="141">
        <v>0</v>
      </c>
      <c r="R23" s="142" t="s">
        <v>289</v>
      </c>
      <c r="S23" s="141">
        <v>1</v>
      </c>
      <c r="T23" s="141">
        <v>2</v>
      </c>
      <c r="U23" s="140" t="s">
        <v>277</v>
      </c>
      <c r="V23" s="62" t="s">
        <v>277</v>
      </c>
      <c r="W23" s="62" t="s">
        <v>277</v>
      </c>
      <c r="X23" s="62" t="s">
        <v>277</v>
      </c>
      <c r="Y23" s="62">
        <v>250</v>
      </c>
      <c r="Z23" s="62">
        <v>950</v>
      </c>
      <c r="AA23" s="62" t="s">
        <v>290</v>
      </c>
      <c r="AB23" s="62" t="s">
        <v>291</v>
      </c>
    </row>
    <row r="24" s="138" customFormat="1" spans="1:29">
      <c r="A24" s="62" t="s">
        <v>292</v>
      </c>
      <c r="B24" s="62" t="s">
        <v>293</v>
      </c>
      <c r="C24" s="62" t="s">
        <v>294</v>
      </c>
      <c r="D24" s="62" t="s">
        <v>295</v>
      </c>
      <c r="E24" s="62" t="s">
        <v>296</v>
      </c>
      <c r="F24" s="62" t="s">
        <v>297</v>
      </c>
      <c r="G24" s="62" t="s">
        <v>249</v>
      </c>
      <c r="H24" s="62">
        <v>116661</v>
      </c>
      <c r="I24" s="62">
        <v>350</v>
      </c>
      <c r="J24" s="141">
        <v>21</v>
      </c>
      <c r="K24" s="62">
        <f t="shared" si="0"/>
        <v>17</v>
      </c>
      <c r="L24" s="142" t="s">
        <v>298</v>
      </c>
      <c r="M24" s="141">
        <v>1</v>
      </c>
      <c r="N24" s="141">
        <v>10</v>
      </c>
      <c r="O24" s="142" t="s">
        <v>299</v>
      </c>
      <c r="P24" s="141">
        <v>2</v>
      </c>
      <c r="Q24" s="141">
        <v>4</v>
      </c>
      <c r="R24" s="141" t="s">
        <v>45</v>
      </c>
      <c r="S24" s="141">
        <v>1</v>
      </c>
      <c r="T24" s="141">
        <v>3</v>
      </c>
      <c r="U24" s="140" t="s">
        <v>277</v>
      </c>
      <c r="V24" s="62" t="s">
        <v>277</v>
      </c>
      <c r="W24" s="62" t="s">
        <v>277</v>
      </c>
      <c r="X24" s="62" t="s">
        <v>277</v>
      </c>
      <c r="Y24" s="62">
        <v>950</v>
      </c>
      <c r="Z24" s="62">
        <v>1300</v>
      </c>
      <c r="AA24" s="62" t="s">
        <v>300</v>
      </c>
      <c r="AB24" s="62" t="s">
        <v>301</v>
      </c>
      <c r="AC24" s="138" t="s">
        <v>302</v>
      </c>
    </row>
    <row r="25" s="138" customFormat="1" spans="1:29">
      <c r="A25" s="62" t="s">
        <v>303</v>
      </c>
      <c r="B25" s="62" t="s">
        <v>304</v>
      </c>
      <c r="C25" s="62" t="s">
        <v>305</v>
      </c>
      <c r="D25" s="62" t="s">
        <v>306</v>
      </c>
      <c r="E25" s="62" t="s">
        <v>307</v>
      </c>
      <c r="F25" s="62" t="s">
        <v>308</v>
      </c>
      <c r="G25" s="62" t="s">
        <v>249</v>
      </c>
      <c r="H25" s="62">
        <v>46005</v>
      </c>
      <c r="I25" s="62">
        <v>1300</v>
      </c>
      <c r="J25" s="141">
        <v>25</v>
      </c>
      <c r="K25" s="62">
        <f t="shared" si="0"/>
        <v>21</v>
      </c>
      <c r="L25" s="142" t="s">
        <v>309</v>
      </c>
      <c r="M25" s="141">
        <v>1</v>
      </c>
      <c r="N25" s="141">
        <v>4</v>
      </c>
      <c r="O25" s="142" t="s">
        <v>310</v>
      </c>
      <c r="P25" s="141">
        <v>2</v>
      </c>
      <c r="Q25" s="141">
        <v>8</v>
      </c>
      <c r="R25" s="141" t="s">
        <v>311</v>
      </c>
      <c r="S25" s="141">
        <v>1</v>
      </c>
      <c r="T25" s="141">
        <v>9</v>
      </c>
      <c r="U25" s="140" t="s">
        <v>277</v>
      </c>
      <c r="V25" s="62" t="s">
        <v>277</v>
      </c>
      <c r="W25" s="62" t="s">
        <v>277</v>
      </c>
      <c r="X25" s="62" t="s">
        <v>277</v>
      </c>
      <c r="Y25" s="62">
        <v>1700</v>
      </c>
      <c r="Z25" s="62">
        <v>1500</v>
      </c>
      <c r="AA25" s="62" t="s">
        <v>312</v>
      </c>
      <c r="AB25" s="62" t="s">
        <v>313</v>
      </c>
      <c r="AC25" s="138" t="s">
        <v>314</v>
      </c>
    </row>
    <row r="26" s="138" customFormat="1" spans="1:29">
      <c r="A26" s="62" t="s">
        <v>315</v>
      </c>
      <c r="B26" s="62" t="s">
        <v>316</v>
      </c>
      <c r="C26" s="62" t="s">
        <v>317</v>
      </c>
      <c r="D26" s="62" t="s">
        <v>318</v>
      </c>
      <c r="E26" s="62" t="s">
        <v>319</v>
      </c>
      <c r="F26" s="62" t="s">
        <v>320</v>
      </c>
      <c r="G26" s="62" t="s">
        <v>249</v>
      </c>
      <c r="H26" s="62">
        <v>11262</v>
      </c>
      <c r="I26" s="62">
        <v>1329</v>
      </c>
      <c r="J26" s="141">
        <v>37</v>
      </c>
      <c r="K26" s="62">
        <f t="shared" si="0"/>
        <v>33</v>
      </c>
      <c r="L26" s="142" t="s">
        <v>321</v>
      </c>
      <c r="M26" s="141">
        <v>1</v>
      </c>
      <c r="N26" s="141">
        <v>5</v>
      </c>
      <c r="O26" s="142" t="s">
        <v>322</v>
      </c>
      <c r="P26" s="141">
        <v>2</v>
      </c>
      <c r="Q26" s="141">
        <v>13</v>
      </c>
      <c r="R26" s="141" t="s">
        <v>323</v>
      </c>
      <c r="S26" s="141">
        <v>1</v>
      </c>
      <c r="T26" s="141">
        <v>15</v>
      </c>
      <c r="U26" s="140" t="s">
        <v>277</v>
      </c>
      <c r="V26" s="62" t="s">
        <v>277</v>
      </c>
      <c r="W26" s="62" t="s">
        <v>277</v>
      </c>
      <c r="X26" s="62" t="s">
        <v>277</v>
      </c>
      <c r="Y26" s="62">
        <v>1100</v>
      </c>
      <c r="Z26" s="62">
        <v>1700</v>
      </c>
      <c r="AA26" s="62" t="s">
        <v>324</v>
      </c>
      <c r="AB26" s="62" t="s">
        <v>325</v>
      </c>
      <c r="AC26" s="138" t="s">
        <v>326</v>
      </c>
    </row>
    <row r="27" s="138" customFormat="1" spans="1:29">
      <c r="A27" s="62" t="s">
        <v>327</v>
      </c>
      <c r="B27" s="62" t="s">
        <v>328</v>
      </c>
      <c r="C27" s="62" t="s">
        <v>329</v>
      </c>
      <c r="D27" s="62" t="s">
        <v>330</v>
      </c>
      <c r="E27" s="62" t="s">
        <v>331</v>
      </c>
      <c r="F27" s="62" t="s">
        <v>332</v>
      </c>
      <c r="G27" s="62" t="s">
        <v>249</v>
      </c>
      <c r="H27" s="62">
        <v>117200</v>
      </c>
      <c r="I27" s="62">
        <v>720</v>
      </c>
      <c r="J27" s="141">
        <v>26</v>
      </c>
      <c r="K27" s="62">
        <f t="shared" si="0"/>
        <v>21</v>
      </c>
      <c r="L27" s="142" t="s">
        <v>333</v>
      </c>
      <c r="M27" s="141">
        <v>1</v>
      </c>
      <c r="N27" s="141">
        <v>9</v>
      </c>
      <c r="O27" s="142" t="s">
        <v>334</v>
      </c>
      <c r="P27" s="141">
        <v>3</v>
      </c>
      <c r="Q27" s="141">
        <v>8</v>
      </c>
      <c r="R27" s="141" t="s">
        <v>335</v>
      </c>
      <c r="S27" s="141">
        <v>1</v>
      </c>
      <c r="T27" s="141">
        <v>4</v>
      </c>
      <c r="U27" s="140" t="s">
        <v>277</v>
      </c>
      <c r="V27" s="62" t="s">
        <v>277</v>
      </c>
      <c r="W27" s="62" t="s">
        <v>277</v>
      </c>
      <c r="X27" s="62" t="s">
        <v>277</v>
      </c>
      <c r="Y27" s="62">
        <v>1250</v>
      </c>
      <c r="Z27" s="62">
        <v>1700</v>
      </c>
      <c r="AA27" s="62" t="s">
        <v>336</v>
      </c>
      <c r="AB27" s="62" t="s">
        <v>337</v>
      </c>
      <c r="AC27" s="138" t="s">
        <v>338</v>
      </c>
    </row>
    <row r="28" s="138" customFormat="1" spans="1:29">
      <c r="A28" s="62" t="s">
        <v>339</v>
      </c>
      <c r="B28" s="62" t="s">
        <v>340</v>
      </c>
      <c r="C28" s="62" t="s">
        <v>341</v>
      </c>
      <c r="D28" s="62" t="s">
        <v>342</v>
      </c>
      <c r="E28" s="62" t="s">
        <v>343</v>
      </c>
      <c r="F28" s="62" t="s">
        <v>344</v>
      </c>
      <c r="G28" s="62" t="s">
        <v>249</v>
      </c>
      <c r="H28" s="62">
        <v>117196</v>
      </c>
      <c r="I28" s="62">
        <v>2000</v>
      </c>
      <c r="J28" s="141">
        <v>41</v>
      </c>
      <c r="K28" s="62">
        <f t="shared" si="0"/>
        <v>36</v>
      </c>
      <c r="L28" s="142" t="s">
        <v>345</v>
      </c>
      <c r="M28" s="141">
        <v>2</v>
      </c>
      <c r="N28" s="141">
        <v>22</v>
      </c>
      <c r="O28" s="142" t="s">
        <v>346</v>
      </c>
      <c r="P28" s="141">
        <v>1</v>
      </c>
      <c r="Q28" s="141">
        <v>6</v>
      </c>
      <c r="R28" s="141" t="s">
        <v>347</v>
      </c>
      <c r="S28" s="141">
        <v>2</v>
      </c>
      <c r="T28" s="141">
        <v>8</v>
      </c>
      <c r="U28" s="140" t="s">
        <v>277</v>
      </c>
      <c r="V28" s="62" t="s">
        <v>277</v>
      </c>
      <c r="W28" s="62" t="s">
        <v>277</v>
      </c>
      <c r="X28" s="62" t="s">
        <v>277</v>
      </c>
      <c r="Y28" s="62">
        <v>1800</v>
      </c>
      <c r="Z28" s="62">
        <v>2600</v>
      </c>
      <c r="AA28" s="62" t="s">
        <v>348</v>
      </c>
      <c r="AB28" s="62" t="s">
        <v>349</v>
      </c>
      <c r="AC28" s="138" t="s">
        <v>350</v>
      </c>
    </row>
    <row r="29" s="138" customFormat="1" spans="1:37">
      <c r="A29" s="62" t="s">
        <v>351</v>
      </c>
      <c r="B29" s="62" t="s">
        <v>352</v>
      </c>
      <c r="C29" s="62" t="s">
        <v>353</v>
      </c>
      <c r="D29" s="62" t="s">
        <v>354</v>
      </c>
      <c r="E29" s="62" t="s">
        <v>355</v>
      </c>
      <c r="F29" s="62" t="s">
        <v>356</v>
      </c>
      <c r="G29" s="62" t="s">
        <v>357</v>
      </c>
      <c r="H29" s="62">
        <v>139653</v>
      </c>
      <c r="I29" s="62">
        <v>3200</v>
      </c>
      <c r="J29" s="140">
        <v>112</v>
      </c>
      <c r="K29" s="62">
        <f t="shared" si="0"/>
        <v>93</v>
      </c>
      <c r="L29" s="140" t="s">
        <v>358</v>
      </c>
      <c r="M29" s="140">
        <v>3</v>
      </c>
      <c r="N29" s="140">
        <v>22</v>
      </c>
      <c r="O29" s="140" t="s">
        <v>359</v>
      </c>
      <c r="P29" s="140">
        <v>10</v>
      </c>
      <c r="Q29" s="140">
        <v>42</v>
      </c>
      <c r="R29" s="140" t="s">
        <v>360</v>
      </c>
      <c r="S29" s="140">
        <v>6</v>
      </c>
      <c r="T29" s="140">
        <v>29</v>
      </c>
      <c r="U29" s="140"/>
      <c r="X29" s="62">
        <v>8</v>
      </c>
      <c r="Y29" s="62">
        <v>2000</v>
      </c>
      <c r="Z29" s="62">
        <v>4000</v>
      </c>
      <c r="AA29" s="62" t="s">
        <v>361</v>
      </c>
      <c r="AB29" s="62" t="s">
        <v>362</v>
      </c>
      <c r="AH29" s="143" t="s">
        <v>363</v>
      </c>
      <c r="AI29" s="143" t="s">
        <v>364</v>
      </c>
      <c r="AK29" s="62" t="s">
        <v>365</v>
      </c>
    </row>
    <row r="30" s="138" customFormat="1" spans="1:37">
      <c r="A30" s="62" t="s">
        <v>366</v>
      </c>
      <c r="B30" s="62" t="s">
        <v>367</v>
      </c>
      <c r="C30" s="62" t="s">
        <v>353</v>
      </c>
      <c r="D30" s="62" t="s">
        <v>353</v>
      </c>
      <c r="E30" s="62" t="s">
        <v>368</v>
      </c>
      <c r="F30" s="62" t="s">
        <v>369</v>
      </c>
      <c r="G30" s="62" t="s">
        <v>357</v>
      </c>
      <c r="H30" s="62">
        <v>116831</v>
      </c>
      <c r="I30" s="62">
        <v>4000</v>
      </c>
      <c r="J30" s="62">
        <v>87</v>
      </c>
      <c r="K30" s="62">
        <f t="shared" si="0"/>
        <v>68</v>
      </c>
      <c r="L30" s="62" t="s">
        <v>370</v>
      </c>
      <c r="M30" s="62">
        <v>6</v>
      </c>
      <c r="N30" s="62">
        <v>34</v>
      </c>
      <c r="O30" s="62" t="s">
        <v>371</v>
      </c>
      <c r="P30" s="62">
        <v>6</v>
      </c>
      <c r="Q30" s="62">
        <v>15</v>
      </c>
      <c r="R30" s="62" t="s">
        <v>372</v>
      </c>
      <c r="S30" s="62">
        <v>7</v>
      </c>
      <c r="T30" s="62">
        <v>19</v>
      </c>
      <c r="U30" s="62">
        <v>0</v>
      </c>
      <c r="V30" s="62">
        <v>11</v>
      </c>
      <c r="W30" s="62">
        <v>12</v>
      </c>
      <c r="X30" s="62">
        <v>46</v>
      </c>
      <c r="Y30" s="62">
        <v>4856</v>
      </c>
      <c r="Z30" s="62">
        <v>6793</v>
      </c>
      <c r="AA30" s="62" t="s">
        <v>373</v>
      </c>
      <c r="AB30" s="62" t="s">
        <v>374</v>
      </c>
      <c r="AC30" s="138" t="s">
        <v>375</v>
      </c>
      <c r="AH30" s="62" t="s">
        <v>376</v>
      </c>
      <c r="AI30" s="62" t="s">
        <v>377</v>
      </c>
      <c r="AK30" s="62" t="s">
        <v>378</v>
      </c>
    </row>
    <row r="31" s="138" customFormat="1" spans="1:37">
      <c r="A31" s="62" t="s">
        <v>379</v>
      </c>
      <c r="B31" s="62" t="s">
        <v>380</v>
      </c>
      <c r="C31" s="62" t="s">
        <v>381</v>
      </c>
      <c r="D31" s="62" t="s">
        <v>382</v>
      </c>
      <c r="E31" s="62" t="s">
        <v>383</v>
      </c>
      <c r="F31" s="62" t="s">
        <v>384</v>
      </c>
      <c r="G31" s="62" t="s">
        <v>357</v>
      </c>
      <c r="H31" s="62">
        <v>117307</v>
      </c>
      <c r="I31" s="62">
        <v>2820</v>
      </c>
      <c r="J31" s="62">
        <v>31</v>
      </c>
      <c r="K31" s="62">
        <f t="shared" si="0"/>
        <v>23</v>
      </c>
      <c r="L31" s="62" t="s">
        <v>385</v>
      </c>
      <c r="M31" s="62">
        <v>1</v>
      </c>
      <c r="N31" s="62">
        <v>7</v>
      </c>
      <c r="O31" s="62" t="s">
        <v>386</v>
      </c>
      <c r="P31" s="62">
        <v>5</v>
      </c>
      <c r="Q31" s="62">
        <v>11</v>
      </c>
      <c r="R31" s="62" t="s">
        <v>387</v>
      </c>
      <c r="S31" s="62">
        <v>2</v>
      </c>
      <c r="T31" s="62">
        <v>5</v>
      </c>
      <c r="X31" s="62">
        <v>23</v>
      </c>
      <c r="Y31" s="62" t="s">
        <v>388</v>
      </c>
      <c r="Z31" s="62" t="s">
        <v>389</v>
      </c>
      <c r="AA31" s="62" t="s">
        <v>390</v>
      </c>
      <c r="AB31" s="62" t="s">
        <v>391</v>
      </c>
      <c r="AC31" s="138" t="s">
        <v>392</v>
      </c>
      <c r="AH31" s="62" t="s">
        <v>393</v>
      </c>
      <c r="AI31" s="62" t="s">
        <v>394</v>
      </c>
      <c r="AK31" s="62" t="s">
        <v>395</v>
      </c>
    </row>
    <row r="32" s="138" customFormat="1" spans="1:37">
      <c r="A32" s="62" t="s">
        <v>396</v>
      </c>
      <c r="B32" s="62" t="s">
        <v>397</v>
      </c>
      <c r="C32" s="62" t="s">
        <v>398</v>
      </c>
      <c r="D32" s="62" t="s">
        <v>398</v>
      </c>
      <c r="E32" s="62" t="s">
        <v>399</v>
      </c>
      <c r="F32" s="62" t="s">
        <v>400</v>
      </c>
      <c r="G32" s="62" t="s">
        <v>357</v>
      </c>
      <c r="H32" s="62">
        <v>113255</v>
      </c>
      <c r="I32" s="62">
        <v>1819</v>
      </c>
      <c r="J32" s="62">
        <v>70</v>
      </c>
      <c r="K32" s="62">
        <f t="shared" si="0"/>
        <v>56</v>
      </c>
      <c r="L32" s="62" t="s">
        <v>401</v>
      </c>
      <c r="M32" s="62">
        <v>4</v>
      </c>
      <c r="N32" s="62">
        <v>32</v>
      </c>
      <c r="O32" s="62" t="s">
        <v>402</v>
      </c>
      <c r="P32" s="62">
        <v>4</v>
      </c>
      <c r="Q32" s="62">
        <v>12</v>
      </c>
      <c r="R32" s="62" t="s">
        <v>403</v>
      </c>
      <c r="S32" s="62">
        <v>6</v>
      </c>
      <c r="T32" s="62">
        <v>12</v>
      </c>
      <c r="U32" s="62">
        <v>14</v>
      </c>
      <c r="V32" s="62">
        <v>18</v>
      </c>
      <c r="W32" s="62">
        <v>2</v>
      </c>
      <c r="X32" s="62">
        <v>33</v>
      </c>
      <c r="Y32" s="62" t="s">
        <v>404</v>
      </c>
      <c r="Z32" s="62" t="s">
        <v>405</v>
      </c>
      <c r="AA32" s="62" t="s">
        <v>406</v>
      </c>
      <c r="AB32" s="62" t="s">
        <v>407</v>
      </c>
      <c r="AC32" s="138" t="s">
        <v>408</v>
      </c>
      <c r="AH32" s="62" t="s">
        <v>409</v>
      </c>
      <c r="AI32" s="62" t="s">
        <v>410</v>
      </c>
      <c r="AK32" s="62" t="s">
        <v>411</v>
      </c>
    </row>
    <row r="33" s="138" customFormat="1" spans="1:37">
      <c r="A33" s="62" t="s">
        <v>412</v>
      </c>
      <c r="B33" s="62" t="s">
        <v>413</v>
      </c>
      <c r="C33" s="62" t="s">
        <v>414</v>
      </c>
      <c r="D33" s="62" t="s">
        <v>415</v>
      </c>
      <c r="E33" s="62" t="s">
        <v>416</v>
      </c>
      <c r="F33" s="62" t="s">
        <v>417</v>
      </c>
      <c r="G33" s="62" t="s">
        <v>357</v>
      </c>
      <c r="H33" s="139">
        <v>116599</v>
      </c>
      <c r="I33" s="62">
        <v>6800</v>
      </c>
      <c r="J33" s="62">
        <v>147</v>
      </c>
      <c r="K33" s="62">
        <f t="shared" si="0"/>
        <v>122</v>
      </c>
      <c r="L33" s="62" t="s">
        <v>418</v>
      </c>
      <c r="M33" s="62">
        <v>5</v>
      </c>
      <c r="N33" s="62">
        <v>27</v>
      </c>
      <c r="O33" s="62" t="s">
        <v>419</v>
      </c>
      <c r="P33" s="62">
        <v>8</v>
      </c>
      <c r="Q33" s="62">
        <v>38</v>
      </c>
      <c r="R33" s="62" t="s">
        <v>420</v>
      </c>
      <c r="S33" s="62">
        <v>12</v>
      </c>
      <c r="T33" s="62">
        <v>57</v>
      </c>
      <c r="U33" s="62">
        <v>10</v>
      </c>
      <c r="V33" s="62">
        <v>2</v>
      </c>
      <c r="W33" s="62">
        <v>2</v>
      </c>
      <c r="X33" s="62">
        <v>41</v>
      </c>
      <c r="Y33" s="62">
        <v>5500</v>
      </c>
      <c r="Z33" s="62">
        <v>8500</v>
      </c>
      <c r="AA33" s="62" t="s">
        <v>421</v>
      </c>
      <c r="AB33" s="62" t="s">
        <v>422</v>
      </c>
      <c r="AC33" s="138" t="s">
        <v>423</v>
      </c>
      <c r="AH33" s="62" t="s">
        <v>424</v>
      </c>
      <c r="AI33" s="62" t="s">
        <v>425</v>
      </c>
      <c r="AJ33" s="62" t="s">
        <v>426</v>
      </c>
      <c r="AK33" s="62" t="s">
        <v>427</v>
      </c>
    </row>
    <row r="34" s="138" customFormat="1" spans="1:37">
      <c r="A34" s="62" t="s">
        <v>428</v>
      </c>
      <c r="B34" s="62" t="s">
        <v>429</v>
      </c>
      <c r="C34" s="62" t="s">
        <v>430</v>
      </c>
      <c r="D34" s="62" t="s">
        <v>431</v>
      </c>
      <c r="E34" s="62" t="s">
        <v>432</v>
      </c>
      <c r="F34" s="62" t="s">
        <v>433</v>
      </c>
      <c r="G34" s="62" t="s">
        <v>357</v>
      </c>
      <c r="H34" s="62">
        <v>114979</v>
      </c>
      <c r="I34" s="62">
        <v>1500</v>
      </c>
      <c r="J34" s="62">
        <v>47</v>
      </c>
      <c r="K34" s="62">
        <f t="shared" si="0"/>
        <v>36</v>
      </c>
      <c r="L34" s="62" t="s">
        <v>434</v>
      </c>
      <c r="M34" s="62">
        <v>2</v>
      </c>
      <c r="N34" s="62">
        <v>8</v>
      </c>
      <c r="O34" s="62" t="s">
        <v>435</v>
      </c>
      <c r="P34" s="62">
        <v>5</v>
      </c>
      <c r="Q34" s="62">
        <v>5</v>
      </c>
      <c r="R34" s="62" t="s">
        <v>436</v>
      </c>
      <c r="S34" s="62">
        <v>4</v>
      </c>
      <c r="T34" s="62">
        <v>23</v>
      </c>
      <c r="U34" s="62">
        <v>4</v>
      </c>
      <c r="V34" s="62">
        <v>8</v>
      </c>
      <c r="X34" s="62">
        <v>23</v>
      </c>
      <c r="Y34" s="62">
        <v>1900</v>
      </c>
      <c r="Z34" s="62">
        <v>3800</v>
      </c>
      <c r="AA34" s="62" t="s">
        <v>437</v>
      </c>
      <c r="AB34" s="62" t="s">
        <v>438</v>
      </c>
      <c r="AC34" s="138" t="s">
        <v>439</v>
      </c>
      <c r="AH34" s="62" t="s">
        <v>440</v>
      </c>
      <c r="AI34" s="62" t="s">
        <v>441</v>
      </c>
      <c r="AK34" s="62" t="s">
        <v>442</v>
      </c>
    </row>
    <row r="35" s="138" customFormat="1" spans="1:37">
      <c r="A35" s="62" t="s">
        <v>443</v>
      </c>
      <c r="B35" s="62" t="s">
        <v>444</v>
      </c>
      <c r="C35" s="62" t="s">
        <v>445</v>
      </c>
      <c r="D35" s="62" t="s">
        <v>446</v>
      </c>
      <c r="E35" s="62" t="s">
        <v>447</v>
      </c>
      <c r="F35" s="62" t="s">
        <v>448</v>
      </c>
      <c r="G35" s="62" t="s">
        <v>357</v>
      </c>
      <c r="H35" s="62">
        <v>350095</v>
      </c>
      <c r="I35" s="62">
        <v>1158</v>
      </c>
      <c r="J35" s="62">
        <v>30</v>
      </c>
      <c r="K35" s="62">
        <f t="shared" si="0"/>
        <v>22</v>
      </c>
      <c r="L35" s="62" t="s">
        <v>449</v>
      </c>
      <c r="M35" s="62">
        <v>4</v>
      </c>
      <c r="N35" s="62">
        <v>15</v>
      </c>
      <c r="O35" s="62" t="s">
        <v>128</v>
      </c>
      <c r="P35" s="62">
        <v>2</v>
      </c>
      <c r="Q35" s="62">
        <v>3</v>
      </c>
      <c r="R35" s="62" t="s">
        <v>450</v>
      </c>
      <c r="S35" s="62">
        <v>2</v>
      </c>
      <c r="T35" s="62">
        <v>4</v>
      </c>
      <c r="U35" s="62">
        <v>6</v>
      </c>
      <c r="V35" s="62">
        <v>12</v>
      </c>
      <c r="W35" s="62">
        <v>4</v>
      </c>
      <c r="X35" s="62">
        <v>18</v>
      </c>
      <c r="Y35" s="62">
        <v>850</v>
      </c>
      <c r="Z35" s="62">
        <v>2900</v>
      </c>
      <c r="AA35" s="62" t="s">
        <v>451</v>
      </c>
      <c r="AB35" s="62" t="s">
        <v>452</v>
      </c>
      <c r="AC35" s="138" t="s">
        <v>453</v>
      </c>
      <c r="AH35" s="62" t="s">
        <v>454</v>
      </c>
      <c r="AI35" s="62" t="s">
        <v>133</v>
      </c>
      <c r="AK35" s="62" t="s">
        <v>455</v>
      </c>
    </row>
    <row r="36" s="138" customFormat="1" spans="1:37">
      <c r="A36" s="62" t="s">
        <v>456</v>
      </c>
      <c r="B36" s="62" t="s">
        <v>457</v>
      </c>
      <c r="C36" s="62" t="s">
        <v>414</v>
      </c>
      <c r="D36" s="62" t="s">
        <v>458</v>
      </c>
      <c r="E36" s="62" t="s">
        <v>459</v>
      </c>
      <c r="F36" s="62" t="s">
        <v>460</v>
      </c>
      <c r="G36" s="62" t="s">
        <v>357</v>
      </c>
      <c r="H36" s="62">
        <v>122041</v>
      </c>
      <c r="I36" s="62">
        <v>800</v>
      </c>
      <c r="J36" s="62">
        <v>9</v>
      </c>
      <c r="K36" s="62">
        <f t="shared" si="0"/>
        <v>6</v>
      </c>
      <c r="L36" s="62" t="s">
        <v>180</v>
      </c>
      <c r="M36" s="62">
        <v>0</v>
      </c>
      <c r="N36" s="62">
        <v>0</v>
      </c>
      <c r="O36" s="62" t="s">
        <v>334</v>
      </c>
      <c r="P36" s="62">
        <v>1</v>
      </c>
      <c r="R36" s="62" t="s">
        <v>323</v>
      </c>
      <c r="S36" s="62">
        <v>2</v>
      </c>
      <c r="T36" s="62">
        <v>6</v>
      </c>
      <c r="U36" s="62" t="s">
        <v>461</v>
      </c>
      <c r="V36" s="62">
        <v>6</v>
      </c>
      <c r="W36" s="62">
        <v>1</v>
      </c>
      <c r="X36" s="62">
        <v>6</v>
      </c>
      <c r="Y36" s="62">
        <v>1077</v>
      </c>
      <c r="Z36" s="62">
        <v>1858</v>
      </c>
      <c r="AA36" s="62" t="s">
        <v>462</v>
      </c>
      <c r="AB36" s="62" t="s">
        <v>463</v>
      </c>
      <c r="AC36" s="138" t="s">
        <v>464</v>
      </c>
      <c r="AH36" s="62" t="s">
        <v>465</v>
      </c>
      <c r="AI36" s="62" t="s">
        <v>466</v>
      </c>
      <c r="AK36" s="62" t="s">
        <v>467</v>
      </c>
    </row>
    <row r="37" s="138" customFormat="1" spans="1:37">
      <c r="A37" s="62" t="s">
        <v>468</v>
      </c>
      <c r="B37" s="62" t="s">
        <v>469</v>
      </c>
      <c r="C37" s="62" t="s">
        <v>414</v>
      </c>
      <c r="D37" s="62" t="s">
        <v>470</v>
      </c>
      <c r="E37" s="62" t="s">
        <v>471</v>
      </c>
      <c r="F37" s="62" t="s">
        <v>472</v>
      </c>
      <c r="G37" s="62" t="s">
        <v>357</v>
      </c>
      <c r="H37" s="62">
        <v>58009</v>
      </c>
      <c r="I37" s="62">
        <v>1200</v>
      </c>
      <c r="J37" s="62">
        <v>17</v>
      </c>
      <c r="K37" s="62">
        <f t="shared" si="0"/>
        <v>13</v>
      </c>
      <c r="L37" s="62" t="s">
        <v>418</v>
      </c>
      <c r="M37" s="62">
        <v>1</v>
      </c>
      <c r="N37" s="62">
        <v>6</v>
      </c>
      <c r="O37" s="62" t="s">
        <v>99</v>
      </c>
      <c r="P37" s="62">
        <v>1</v>
      </c>
      <c r="Q37" s="62">
        <v>2</v>
      </c>
      <c r="R37" s="62" t="s">
        <v>473</v>
      </c>
      <c r="S37" s="62">
        <v>2</v>
      </c>
      <c r="T37" s="62">
        <v>5</v>
      </c>
      <c r="U37" s="62">
        <v>4</v>
      </c>
      <c r="V37" s="62">
        <v>10</v>
      </c>
      <c r="W37" s="62">
        <v>2</v>
      </c>
      <c r="X37" s="62">
        <v>3</v>
      </c>
      <c r="Y37" s="62">
        <v>1200</v>
      </c>
      <c r="Z37" s="62">
        <v>1600</v>
      </c>
      <c r="AA37" s="62" t="s">
        <v>474</v>
      </c>
      <c r="AB37" s="62" t="s">
        <v>475</v>
      </c>
      <c r="AC37" s="138" t="s">
        <v>476</v>
      </c>
      <c r="AH37" s="143" t="s">
        <v>477</v>
      </c>
      <c r="AI37" s="62" t="s">
        <v>133</v>
      </c>
      <c r="AK37" s="62" t="s">
        <v>478</v>
      </c>
    </row>
  </sheetData>
  <autoFilter ref="A1:AK37">
    <extLst/>
  </autoFilter>
  <hyperlinks>
    <hyperlink ref="AC22" r:id="rId1" display="San Luis-Plano.jpg" tooltip="https://correoargentinosa-my.sharepoint.com/:i:/g/personal/dporcel_correoargentino_com_ar/IQCP0qOo3W09T7aDP5CC5ei6AWhUMUJkhClCYxzvQGBUOKI?e=zENMe0"/>
    <hyperlink ref="AC28" r:id="rId2" display="Tucumán-Plano.jpg" tooltip="https://correoargentinosa-my.sharepoint.com/:i:/g/personal/dporcel_correoargentino_com_ar/IQBtGnIe_rDDQae0qSnPkvWbAU38yL0QpTRVN2DeGv8NSqE?e=4WxSe6"/>
    <hyperlink ref="AC25" r:id="rId3" display="Jujuy-Plano 2.pdf" tooltip="https://correoargentinosa-my.sharepoint.com/:b:/g/personal/dporcel_correoargentino_com_ar/IQAa_aLRj3X-S6VSH106NYnMAQvwBsCtarRbNJBC24RFQZ0?e=AMgahe"/>
    <hyperlink ref="AC9" r:id="rId4" display="La Plata-Plano 1.pdf" tooltip="https://correoargentinosa-my.sharepoint.com/:b:/g/personal/dporcel_correoargentino_com_ar/IQDXnl6XKHRsR6XzGz69avMVAUyi1gpi8yLFqB_cT7_w_nM?e=4GcglE"/>
    <hyperlink ref="AC35" r:id="rId5" display="Resistencia-Plano ampliación (1).pdf" tooltip="https://correoargentinosa-my.sharepoint.com/:b:/g/personal/dporcel_correoargentino_com_ar/IQDiC9Sk0qH9QK2EwI3FTuXJAQbVsQO9OS7MWK2X8P__nAs?e=y5dsnS"/>
    <hyperlink ref="AC36" r:id="rId6" display="Villa María-Plano 1.pdf" tooltip="https://correoargentinosa-my.sharepoint.com/:b:/g/personal/dporcel_correoargentino_com_ar/IQBGnrDxd1W3RIRr5YxYfkviAfaWzV1ZAmmPJErEZlx-QkU?e=UUzgIy"/>
    <hyperlink ref="AC34" r:id="rId7" display="Paraná-Plano 2.pdf" tooltip="https://correoargentinosa-my.sharepoint.com/:b:/g/personal/dporcel_correoargentino_com_ar/IQAi_uHs_5PATbyI_hAMFHWJAeb7FZCMjfD8wq_1QpBq1ec?e=dbUvwQ"/>
    <hyperlink ref="AC30" r:id="rId8" display="Santa Fe-Plano (1).jpg" tooltip="https://correoargentinosa-my.sharepoint.com/:i:/g/personal/dporcel_correoargentino_com_ar/IQB7F3hubV0MQ6P5-8wnV6-GAfxMYFy48diM7t6wMc5DtAo?e=oXpcMM"/>
    <hyperlink ref="AC33" r:id="rId9" display="Córdoba-Plano.jpg" tooltip="https://correoargentinosa-my.sharepoint.com/:i:/g/personal/dporcel_correoargentino_com_ar/IQDjhsBQW6LCRoKlnL3qcz_AAac4t4S2oR5rNdFenJEjWQQ?e=u6Eqma"/>
    <hyperlink ref="AC32" r:id="rId10" display="Corrientes-Plano.jpg" tooltip="https://correoargentinosa-my.sharepoint.com/:i:/g/personal/dporcel_correoargentino_com_ar/IQBFX6LT6ZXsQJuTzzgjHZKHAUgDqEdao0RLWhfvutVV9qE?e=CTSJLj"/>
    <hyperlink ref="AC31" r:id="rId11" display="Posadas-Plano.jpg" tooltip="https://correoargentinosa-my.sharepoint.com/:i:/g/personal/dporcel_correoargentino_com_ar/IQASxIhpUXFcSIZrfrYj3eEdAYYf0JbmlC5yMLzrHBxU5QA?e=7rCP5J"/>
    <hyperlink ref="AC37" r:id="rId12" display="Río Cuarto-Plano 1.jpg" tooltip="https://correoargentinosa-my.sharepoint.com/:i:/g/personal/dporcel_correoargentino_com_ar/IQB7fUTZRybBTr7tYfnqMixuAUvniNk2mreVw16CnzPFHb0?e=hf8ihY"/>
    <hyperlink ref="AC6" r:id="rId13" display="Bariloche-Plano.jpg" tooltip="https://correoargentinosa-my.sharepoint.com/:i:/g/personal/dporcel_correoargentino_com_ar/IQD3DqRytlziSKhKMImjU2t2AfXOR6zWxhx1_WJwuthxyHk?e=sgT3Ss"/>
    <hyperlink ref="AC2" r:id="rId14" display="Neuquén-Plano (1).jpg" tooltip="https://correoargentinosa-my.sharepoint.com/:i:/g/personal/dporcel_correoargentino_com_ar/IQA0A0J_tJVuQq4SNzu084jPAS9WYkyFbeLbMK21LpXkjMI?e=cBMxCd"/>
    <hyperlink ref="AC5" r:id="rId15" display="Río Gallegos-Plano.jpg" tooltip="https://correoargentinosa-my.sharepoint.com/:i:/g/personal/dporcel_correoargentino_com_ar/IQB27phie8GvRbubu0obV2ylAcaM5eKim8coh89Te2uecgY?e=FaWoGd"/>
    <hyperlink ref="AC4" r:id="rId16" display="Trelew-Ubicación Manzana.jpg" tooltip="https://correoargentinosa-my.sharepoint.com/:i:/g/personal/dporcel_correoargentino_com_ar/IQBkn9K3fBl6RLJCtlfi_xkuAbeQzmNxlV2isu5hV1wXGus?e=3eYHDW"/>
    <hyperlink ref="AC10" r:id="rId17" display="Bahía Blanca-Plano.jpg" tooltip="https://correoargentinosa-my.sharepoint.com/:i:/g/personal/dporcel_correoargentino_com_ar/IQBAmq6sMs1pT7_cravmDNC2AbdDytDScVjIFAO_8ElDfZQ?e=uzovKo"/>
    <hyperlink ref="AC11" r:id="rId18" display="Mar del Plata-Plano.jpg" tooltip="https://correoargentinosa-my.sharepoint.com/:i:/g/personal/dporcel_correoargentino_com_ar/IQAD-NrvQSDTRY9v8yi8xE_fAUBlxRGiW7J5jNe8oSzrWMU?e=uaqkVm"/>
    <hyperlink ref="AC12" r:id="rId19" display="Mercedes -Croquis.jpg" tooltip="https://correoargentinosa-my.sharepoint.com/:i:/g/personal/dporcel_correoargentino_com_ar/IQBfY55fpBHiQIM1fAQAydOpAQd1qt3H0WibHDN63WiB-Do?e=mGJiFe"/>
    <hyperlink ref="AC15" r:id="rId20" display="CPD SUR Barracas (1).pdf" tooltip="https://correoargentinosa-my.sharepoint.com/:b:/g/personal/dporcel_correoargentino_com_ar/IQCGdtXzvsOHT6ZbP_zUPjBfAfrClHccvbp5_S2Rb-MdCBM?e=W3WgTB"/>
    <hyperlink ref="AC16" r:id="rId21" display="CDP LA BERNALESA (1).pdf" tooltip="https://correoargentinosa-my.sharepoint.com/:b:/g/personal/dporcel_correoargentino_com_ar/IQBKk6Md041yRqKM9ufMhR1-AfYMMteLxdj4ak-iKlqydhw?e=UK0oiV"/>
    <hyperlink ref="AC18" r:id="rId22" display="EASY Moreno (1).pdf" tooltip="https://correoargentinosa-my.sharepoint.com/:b:/g/personal/dporcel_correoargentino_com_ar/IQB3ovTVuOHtRb3w6BaKdKCUAUnoGY6dsFX65FnwuQ8zd2Q?e=1vmhTc"/>
    <hyperlink ref="AC19" r:id="rId23" display="CDP Vicente Lopez (1).pdf" tooltip="https://correoargentinosa-my.sharepoint.com/:b:/g/personal/dporcel_correoargentino_com_ar/IQDECXgNFglgTJfkxte_TtPWAQC84kGaW93JE1kNmA20SpE?e=75fJDk"/>
    <hyperlink ref="AC24" r:id="rId24" display="LA RIOJA.pdf" tooltip="https://correoargentinosa-my.sharepoint.com/:b:/g/personal/dporcel_correoargentino_com_ar/IQCPkH3AD2kxQLWIP0ci0rcqAYjHvqVI-W-BN-D6r8Sa49M?e=VSHtz3"/>
    <hyperlink ref="AC27" r:id="rId25" display="SANTIAGO DEL ESTERO.pdf" tooltip="https://correoargentinosa-my.sharepoint.com/:b:/g/personal/dporcel_correoargentino_com_ar/IQAcKXtvaKDASY-ucb1CGg9bAUk8sDqgaOSHg8a-LPh3--M?e=Z6fs8g"/>
    <hyperlink ref="AC26" r:id="rId26" display="SALTA.pdf" tooltip="https://correoargentinosa-my.sharepoint.com/:b:/g/personal/dporcel_correoargentino_com_ar/IQBugYT0kLG7RLckDmd43rx3AYr755cMxU-pdl7p7zAwhco?e=1PJU0Y"/>
    <hyperlink ref="AC20" r:id="rId27" display="MENDOZA.pdf" tooltip="https://correoargentinosa-my.sharepoint.com/:b:/g/personal/dporcel_correoargentino_com_ar/IQAnIubcstCDQIyinyjNpfLMAW5SK7VzXyTZkeYIhomFrhQ?e=bPh9d0"/>
    <hyperlink ref="AC17" r:id="rId28" display="Mercado Cental-Model.pdf" tooltip="https://correoargentinosa-my.sharepoint.com/:b:/g/personal/dporcel_correoargentino_com_ar/IQA7bxHcIuosQa3hXKWx_1I5AdJ2QJa-wi4UwvBtzy_C2Oc?e=78f14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2"/>
  <sheetViews>
    <sheetView workbookViewId="0">
      <selection activeCell="L12" sqref="L12"/>
    </sheetView>
  </sheetViews>
  <sheetFormatPr defaultColWidth="9.14285714285714" defaultRowHeight="15"/>
  <cols>
    <col min="2" max="2" width="12.4285714285714" customWidth="1"/>
    <col min="3" max="3" width="21.8571428571429" customWidth="1"/>
    <col min="4" max="4" width="11.1428571428571" customWidth="1"/>
    <col min="5" max="5" width="22" customWidth="1"/>
    <col min="6" max="6" width="12.2857142857143" customWidth="1"/>
    <col min="7" max="7" width="12.7142857142857" customWidth="1"/>
    <col min="8" max="8" width="17.8571428571429" customWidth="1"/>
    <col min="9" max="9" width="20.5714285714286" customWidth="1"/>
    <col min="10" max="10" width="13.7142857142857" customWidth="1"/>
    <col min="11" max="11" width="21.8571428571429" customWidth="1"/>
    <col min="12" max="12" width="13.5714285714286" customWidth="1"/>
    <col min="13" max="13" width="13.8571428571429" customWidth="1"/>
    <col min="14" max="14" width="12.4285714285714" customWidth="1"/>
    <col min="15" max="15" width="16.2857142857143" customWidth="1"/>
    <col min="16" max="17" width="11.2857142857143" customWidth="1"/>
  </cols>
  <sheetData>
    <row r="1" ht="21.75" spans="1:15">
      <c r="A1" s="34" t="s">
        <v>479</v>
      </c>
      <c r="B1" s="35"/>
      <c r="C1" s="35"/>
      <c r="D1" s="35"/>
      <c r="E1" s="35"/>
      <c r="F1" s="38"/>
      <c r="K1" s="55" t="s">
        <v>480</v>
      </c>
      <c r="L1" s="56"/>
      <c r="M1" s="56"/>
      <c r="N1" s="56"/>
      <c r="O1" s="57"/>
    </row>
    <row r="2" ht="60.75" spans="1:15">
      <c r="A2" s="59" t="s">
        <v>0</v>
      </c>
      <c r="B2" s="29" t="s">
        <v>481</v>
      </c>
      <c r="C2" s="30" t="s">
        <v>482</v>
      </c>
      <c r="D2" s="28" t="s">
        <v>483</v>
      </c>
      <c r="E2" s="29" t="s">
        <v>484</v>
      </c>
      <c r="F2" s="30" t="s">
        <v>485</v>
      </c>
      <c r="K2" s="132" t="s">
        <v>1</v>
      </c>
      <c r="L2" s="106" t="s">
        <v>486</v>
      </c>
      <c r="M2" s="107" t="s">
        <v>487</v>
      </c>
      <c r="N2" s="133" t="s">
        <v>488</v>
      </c>
      <c r="O2" s="106" t="s">
        <v>489</v>
      </c>
    </row>
    <row r="3" spans="1:15">
      <c r="A3" s="123" t="s">
        <v>37</v>
      </c>
      <c r="B3" s="1">
        <v>53</v>
      </c>
      <c r="C3" s="33">
        <v>39</v>
      </c>
      <c r="D3" s="10">
        <v>18</v>
      </c>
      <c r="E3" s="1">
        <v>11</v>
      </c>
      <c r="F3" s="33">
        <v>10</v>
      </c>
      <c r="K3" s="123" t="s">
        <v>38</v>
      </c>
      <c r="L3" s="53">
        <v>30</v>
      </c>
      <c r="M3" s="1">
        <v>6</v>
      </c>
      <c r="N3" s="33">
        <v>0</v>
      </c>
      <c r="O3" s="134">
        <v>33</v>
      </c>
    </row>
    <row r="4" spans="1:15">
      <c r="A4" s="123" t="s">
        <v>49</v>
      </c>
      <c r="B4" s="1">
        <v>36</v>
      </c>
      <c r="C4" s="33">
        <v>28</v>
      </c>
      <c r="D4" s="10">
        <v>4</v>
      </c>
      <c r="E4" s="1">
        <v>13</v>
      </c>
      <c r="F4" s="33">
        <v>11</v>
      </c>
      <c r="K4" s="123" t="s">
        <v>50</v>
      </c>
      <c r="L4" s="53">
        <v>8</v>
      </c>
      <c r="M4" s="1">
        <v>6</v>
      </c>
      <c r="N4" s="33">
        <v>13</v>
      </c>
      <c r="O4" s="109">
        <v>9</v>
      </c>
    </row>
    <row r="5" spans="1:15">
      <c r="A5" s="123" t="s">
        <v>60</v>
      </c>
      <c r="B5" s="1">
        <v>15</v>
      </c>
      <c r="C5" s="33">
        <v>11</v>
      </c>
      <c r="D5" s="10">
        <v>0</v>
      </c>
      <c r="E5" s="1">
        <v>6</v>
      </c>
      <c r="F5" s="33">
        <v>5</v>
      </c>
      <c r="K5" s="123" t="s">
        <v>61</v>
      </c>
      <c r="L5" s="53">
        <v>5</v>
      </c>
      <c r="M5" s="1">
        <v>5</v>
      </c>
      <c r="N5" s="33">
        <v>0</v>
      </c>
      <c r="O5" s="109">
        <v>6</v>
      </c>
    </row>
    <row r="6" spans="1:15">
      <c r="A6" s="123" t="s">
        <v>71</v>
      </c>
      <c r="B6" s="1">
        <v>22</v>
      </c>
      <c r="C6" s="33">
        <v>15</v>
      </c>
      <c r="D6" s="10">
        <v>8</v>
      </c>
      <c r="E6" s="1">
        <v>4</v>
      </c>
      <c r="F6" s="33">
        <v>10</v>
      </c>
      <c r="K6" s="123" t="s">
        <v>72</v>
      </c>
      <c r="L6" s="53">
        <v>5</v>
      </c>
      <c r="M6" s="1">
        <v>6</v>
      </c>
      <c r="N6" s="33">
        <v>3</v>
      </c>
      <c r="O6" s="109">
        <v>6</v>
      </c>
    </row>
    <row r="7" spans="1:15">
      <c r="A7" s="124" t="s">
        <v>82</v>
      </c>
      <c r="B7" s="16">
        <v>16</v>
      </c>
      <c r="C7" s="37">
        <v>12</v>
      </c>
      <c r="D7" s="15">
        <v>0</v>
      </c>
      <c r="E7" s="16">
        <v>10</v>
      </c>
      <c r="F7" s="37">
        <v>2</v>
      </c>
      <c r="K7" s="123" t="s">
        <v>83</v>
      </c>
      <c r="L7" s="53">
        <v>7</v>
      </c>
      <c r="M7" s="1">
        <v>4</v>
      </c>
      <c r="N7" s="33">
        <v>0</v>
      </c>
      <c r="O7" s="110">
        <v>8</v>
      </c>
    </row>
    <row r="8" spans="1:14">
      <c r="A8" s="62"/>
      <c r="B8" s="1"/>
      <c r="C8" s="1"/>
      <c r="D8" s="1"/>
      <c r="E8" s="1"/>
      <c r="F8" s="1"/>
      <c r="K8" s="20" t="s">
        <v>490</v>
      </c>
      <c r="L8" s="21"/>
      <c r="M8" s="21"/>
      <c r="N8" s="52">
        <v>16</v>
      </c>
    </row>
    <row r="9" spans="1:10">
      <c r="A9" s="62"/>
      <c r="B9" s="1"/>
      <c r="C9" s="1"/>
      <c r="D9" s="1"/>
      <c r="E9" s="1"/>
      <c r="F9" s="1"/>
      <c r="H9" s="1"/>
      <c r="I9" s="1"/>
      <c r="J9" s="1"/>
    </row>
    <row r="10" ht="15.75"/>
    <row r="11" ht="21.75" spans="1:10">
      <c r="A11" s="25" t="s">
        <v>491</v>
      </c>
      <c r="B11" s="26"/>
      <c r="C11" s="26"/>
      <c r="D11" s="26"/>
      <c r="E11" s="26"/>
      <c r="F11" s="26"/>
      <c r="G11" s="26"/>
      <c r="H11" s="26"/>
      <c r="I11" s="26"/>
      <c r="J11" s="27"/>
    </row>
    <row r="12" ht="60" spans="1:10">
      <c r="A12" s="59" t="s">
        <v>6</v>
      </c>
      <c r="B12" s="60" t="s">
        <v>0</v>
      </c>
      <c r="C12" s="60" t="s">
        <v>1</v>
      </c>
      <c r="D12" s="60" t="s">
        <v>492</v>
      </c>
      <c r="E12" s="60" t="s">
        <v>493</v>
      </c>
      <c r="F12" s="60" t="s">
        <v>494</v>
      </c>
      <c r="G12" s="60" t="s">
        <v>495</v>
      </c>
      <c r="H12" s="28" t="s">
        <v>496</v>
      </c>
      <c r="I12" s="29" t="s">
        <v>497</v>
      </c>
      <c r="J12" s="30" t="s">
        <v>498</v>
      </c>
    </row>
    <row r="13" spans="1:10">
      <c r="A13" s="123" t="s">
        <v>42</v>
      </c>
      <c r="B13" s="62" t="s">
        <v>37</v>
      </c>
      <c r="C13" s="62" t="s">
        <v>38</v>
      </c>
      <c r="D13" s="1">
        <v>26054</v>
      </c>
      <c r="E13" s="125">
        <v>18237.8</v>
      </c>
      <c r="F13" s="125">
        <v>7816.2</v>
      </c>
      <c r="G13" s="126">
        <v>150285</v>
      </c>
      <c r="H13" s="127">
        <v>828.990909090909</v>
      </c>
      <c r="I13" s="108">
        <v>355</v>
      </c>
      <c r="J13" s="135">
        <v>6831.13636363636</v>
      </c>
    </row>
    <row r="14" spans="1:10">
      <c r="A14" s="123" t="s">
        <v>42</v>
      </c>
      <c r="B14" s="62" t="s">
        <v>49</v>
      </c>
      <c r="C14" s="62" t="s">
        <v>50</v>
      </c>
      <c r="D14" s="1">
        <v>4740</v>
      </c>
      <c r="E14" s="125">
        <v>3318</v>
      </c>
      <c r="F14" s="125">
        <v>1422</v>
      </c>
      <c r="G14" s="126">
        <v>40734</v>
      </c>
      <c r="H14" s="127">
        <v>150.818181818182</v>
      </c>
      <c r="I14" s="108">
        <v>65</v>
      </c>
      <c r="J14" s="135">
        <v>1851.54545454545</v>
      </c>
    </row>
    <row r="15" spans="1:10">
      <c r="A15" s="123" t="s">
        <v>42</v>
      </c>
      <c r="B15" s="62" t="s">
        <v>60</v>
      </c>
      <c r="C15" s="62" t="s">
        <v>61</v>
      </c>
      <c r="D15" s="1">
        <v>7073</v>
      </c>
      <c r="E15" s="125">
        <v>4951.1</v>
      </c>
      <c r="F15" s="125">
        <v>2121.9</v>
      </c>
      <c r="G15" s="126">
        <v>23249</v>
      </c>
      <c r="H15" s="127">
        <v>225.05</v>
      </c>
      <c r="I15" s="108">
        <v>96</v>
      </c>
      <c r="J15" s="135">
        <v>1056.77272727273</v>
      </c>
    </row>
    <row r="16" spans="1:10">
      <c r="A16" s="123" t="s">
        <v>42</v>
      </c>
      <c r="B16" s="62" t="s">
        <v>71</v>
      </c>
      <c r="C16" s="62" t="s">
        <v>72</v>
      </c>
      <c r="D16" s="1">
        <v>2311</v>
      </c>
      <c r="E16" s="125">
        <v>1617.7</v>
      </c>
      <c r="F16" s="125">
        <v>693.3</v>
      </c>
      <c r="G16" s="126">
        <v>25381</v>
      </c>
      <c r="H16" s="53">
        <v>74</v>
      </c>
      <c r="I16" s="108">
        <v>32</v>
      </c>
      <c r="J16" s="135">
        <v>1153.68181818182</v>
      </c>
    </row>
    <row r="17" spans="1:10">
      <c r="A17" s="124" t="s">
        <v>42</v>
      </c>
      <c r="B17" s="65" t="s">
        <v>82</v>
      </c>
      <c r="C17" s="65" t="s">
        <v>83</v>
      </c>
      <c r="D17" s="16">
        <v>7185</v>
      </c>
      <c r="E17" s="128">
        <v>5029.5</v>
      </c>
      <c r="F17" s="128">
        <v>2155.5</v>
      </c>
      <c r="G17" s="16">
        <v>30539</v>
      </c>
      <c r="H17" s="129">
        <v>228.613636363636</v>
      </c>
      <c r="I17" s="17">
        <v>98</v>
      </c>
      <c r="J17" s="136">
        <v>1388.13636363636</v>
      </c>
    </row>
    <row r="20" ht="21" spans="1:17">
      <c r="A20" s="130" t="s">
        <v>499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</row>
    <row r="21" ht="46" customHeight="1" spans="1:17">
      <c r="A21" s="120" t="s">
        <v>6</v>
      </c>
      <c r="B21" s="120" t="s">
        <v>500</v>
      </c>
      <c r="C21" s="120" t="s">
        <v>501</v>
      </c>
      <c r="D21" s="120" t="s">
        <v>502</v>
      </c>
      <c r="E21" s="120" t="s">
        <v>503</v>
      </c>
      <c r="F21" s="120" t="s">
        <v>504</v>
      </c>
      <c r="G21" s="120" t="s">
        <v>505</v>
      </c>
      <c r="H21" s="121" t="s">
        <v>506</v>
      </c>
      <c r="I21" s="121" t="s">
        <v>507</v>
      </c>
      <c r="J21" s="121" t="s">
        <v>508</v>
      </c>
      <c r="K21" s="121" t="s">
        <v>509</v>
      </c>
      <c r="L21" s="121" t="s">
        <v>510</v>
      </c>
      <c r="M21" s="120" t="s">
        <v>511</v>
      </c>
      <c r="N21" s="120" t="s">
        <v>512</v>
      </c>
      <c r="O21" s="120" t="s">
        <v>513</v>
      </c>
      <c r="P21" s="120" t="s">
        <v>2</v>
      </c>
      <c r="Q21" s="120" t="s">
        <v>514</v>
      </c>
    </row>
    <row r="22" spans="1:17">
      <c r="A22" s="131" t="s">
        <v>42</v>
      </c>
      <c r="B22" s="131" t="s">
        <v>37</v>
      </c>
      <c r="C22" s="82" t="s">
        <v>515</v>
      </c>
      <c r="D22" s="82" t="s">
        <v>516</v>
      </c>
      <c r="E22" s="83" t="s">
        <v>517</v>
      </c>
      <c r="F22" s="83"/>
      <c r="G22" s="83"/>
      <c r="H22" s="115">
        <v>0.229166666666667</v>
      </c>
      <c r="I22" s="95">
        <v>0.25</v>
      </c>
      <c r="J22" s="94">
        <v>0.0208333333333333</v>
      </c>
      <c r="K22" s="94" t="s">
        <v>518</v>
      </c>
      <c r="L22" s="95"/>
      <c r="M22" s="96"/>
      <c r="N22" s="83"/>
      <c r="O22" s="97" t="s">
        <v>519</v>
      </c>
      <c r="P22" s="83" t="s">
        <v>520</v>
      </c>
      <c r="Q22" s="131" t="s">
        <v>521</v>
      </c>
    </row>
    <row r="23" spans="1:17">
      <c r="A23" s="131" t="s">
        <v>42</v>
      </c>
      <c r="B23" s="131" t="s">
        <v>37</v>
      </c>
      <c r="C23" s="82" t="s">
        <v>515</v>
      </c>
      <c r="D23" s="82" t="s">
        <v>516</v>
      </c>
      <c r="E23" s="83" t="s">
        <v>517</v>
      </c>
      <c r="F23" s="83"/>
      <c r="G23" s="83"/>
      <c r="H23" s="115">
        <v>0.958041549953315</v>
      </c>
      <c r="I23" s="95">
        <v>0.999708216619981</v>
      </c>
      <c r="J23" s="94">
        <v>0.0416666666666667</v>
      </c>
      <c r="K23" s="94" t="s">
        <v>522</v>
      </c>
      <c r="L23" s="95">
        <v>0.312208216619981</v>
      </c>
      <c r="M23" s="96">
        <v>535</v>
      </c>
      <c r="N23" s="96">
        <v>1070</v>
      </c>
      <c r="O23" s="97" t="s">
        <v>519</v>
      </c>
      <c r="P23" s="83" t="s">
        <v>520</v>
      </c>
      <c r="Q23" s="131" t="s">
        <v>521</v>
      </c>
    </row>
    <row r="24" spans="1:17">
      <c r="A24" s="131" t="s">
        <v>42</v>
      </c>
      <c r="B24" s="131" t="s">
        <v>60</v>
      </c>
      <c r="C24" s="82" t="s">
        <v>515</v>
      </c>
      <c r="D24" s="82" t="s">
        <v>523</v>
      </c>
      <c r="E24" s="83" t="s">
        <v>517</v>
      </c>
      <c r="F24" s="83"/>
      <c r="G24" s="83"/>
      <c r="H24" s="115">
        <v>0.145833333333333</v>
      </c>
      <c r="I24" s="95">
        <v>0.166666666666667</v>
      </c>
      <c r="J24" s="94">
        <v>0.0208333333333333</v>
      </c>
      <c r="K24" s="94" t="s">
        <v>522</v>
      </c>
      <c r="L24" s="95"/>
      <c r="M24" s="96"/>
      <c r="N24" s="83"/>
      <c r="O24" s="97" t="s">
        <v>524</v>
      </c>
      <c r="P24" s="83" t="s">
        <v>51</v>
      </c>
      <c r="Q24" s="131" t="s">
        <v>525</v>
      </c>
    </row>
    <row r="25" spans="1:17">
      <c r="A25" s="131" t="s">
        <v>42</v>
      </c>
      <c r="B25" s="131" t="s">
        <v>60</v>
      </c>
      <c r="C25" s="82" t="s">
        <v>515</v>
      </c>
      <c r="D25" s="82" t="s">
        <v>523</v>
      </c>
      <c r="E25" s="83" t="s">
        <v>517</v>
      </c>
      <c r="F25" s="83"/>
      <c r="G25" s="83"/>
      <c r="H25" s="115">
        <v>0.0625</v>
      </c>
      <c r="I25" s="95">
        <v>0.104166666666667</v>
      </c>
      <c r="J25" s="94">
        <v>0.0416666666666667</v>
      </c>
      <c r="K25" s="94" t="s">
        <v>522</v>
      </c>
      <c r="L25" s="95">
        <v>0.416666666666667</v>
      </c>
      <c r="M25" s="96">
        <v>700</v>
      </c>
      <c r="N25" s="96">
        <v>1400</v>
      </c>
      <c r="O25" s="97" t="s">
        <v>524</v>
      </c>
      <c r="P25" s="83" t="s">
        <v>51</v>
      </c>
      <c r="Q25" s="131" t="s">
        <v>525</v>
      </c>
    </row>
    <row r="26" spans="1:17">
      <c r="A26" s="131" t="s">
        <v>42</v>
      </c>
      <c r="B26" s="82" t="s">
        <v>526</v>
      </c>
      <c r="C26" s="82" t="s">
        <v>527</v>
      </c>
      <c r="D26" s="82" t="s">
        <v>528</v>
      </c>
      <c r="E26" s="83" t="s">
        <v>529</v>
      </c>
      <c r="F26" s="83"/>
      <c r="G26" s="83" t="s">
        <v>530</v>
      </c>
      <c r="H26" s="115">
        <v>0.354166666666667</v>
      </c>
      <c r="I26" s="95">
        <v>0.354166666666667</v>
      </c>
      <c r="J26" s="94">
        <v>0</v>
      </c>
      <c r="K26" s="94" t="s">
        <v>518</v>
      </c>
      <c r="L26" s="95"/>
      <c r="M26" s="96"/>
      <c r="N26" s="83"/>
      <c r="O26" s="97" t="s">
        <v>520</v>
      </c>
      <c r="P26" s="83" t="s">
        <v>520</v>
      </c>
      <c r="Q26" s="131" t="s">
        <v>531</v>
      </c>
    </row>
    <row r="27" spans="1:17">
      <c r="A27" s="131" t="s">
        <v>42</v>
      </c>
      <c r="B27" s="82" t="s">
        <v>532</v>
      </c>
      <c r="C27" s="82" t="s">
        <v>527</v>
      </c>
      <c r="D27" s="82" t="s">
        <v>528</v>
      </c>
      <c r="E27" s="83" t="s">
        <v>529</v>
      </c>
      <c r="F27" s="83"/>
      <c r="G27" s="83" t="s">
        <v>530</v>
      </c>
      <c r="H27" s="115">
        <v>0.414583333333333</v>
      </c>
      <c r="I27" s="95">
        <v>0.418055555555556</v>
      </c>
      <c r="J27" s="94">
        <v>0.00347222222222222</v>
      </c>
      <c r="K27" s="94" t="s">
        <v>518</v>
      </c>
      <c r="L27" s="95">
        <v>0.0609375</v>
      </c>
      <c r="M27" s="96">
        <v>117</v>
      </c>
      <c r="N27" s="83">
        <v>117</v>
      </c>
      <c r="O27" s="97" t="s">
        <v>533</v>
      </c>
      <c r="P27" s="83" t="s">
        <v>534</v>
      </c>
      <c r="Q27" s="131" t="s">
        <v>531</v>
      </c>
    </row>
    <row r="28" spans="1:17">
      <c r="A28" s="131" t="s">
        <v>42</v>
      </c>
      <c r="B28" s="82" t="s">
        <v>532</v>
      </c>
      <c r="C28" s="82" t="s">
        <v>527</v>
      </c>
      <c r="D28" s="82" t="s">
        <v>528</v>
      </c>
      <c r="E28" s="83" t="s">
        <v>529</v>
      </c>
      <c r="F28" s="83" t="s">
        <v>535</v>
      </c>
      <c r="G28" s="83"/>
      <c r="H28" s="115">
        <v>0.625</v>
      </c>
      <c r="I28" s="95">
        <v>0.628472222222222</v>
      </c>
      <c r="J28" s="94">
        <v>0.00347222222222222</v>
      </c>
      <c r="K28" s="94" t="s">
        <v>536</v>
      </c>
      <c r="L28" s="95">
        <v>0</v>
      </c>
      <c r="M28" s="96">
        <v>0</v>
      </c>
      <c r="N28" s="83">
        <v>117</v>
      </c>
      <c r="O28" s="97" t="s">
        <v>533</v>
      </c>
      <c r="P28" s="83" t="s">
        <v>534</v>
      </c>
      <c r="Q28" s="131" t="s">
        <v>531</v>
      </c>
    </row>
    <row r="29" spans="1:17">
      <c r="A29" s="131" t="s">
        <v>42</v>
      </c>
      <c r="B29" s="82" t="s">
        <v>526</v>
      </c>
      <c r="C29" s="82" t="s">
        <v>527</v>
      </c>
      <c r="D29" s="82" t="s">
        <v>528</v>
      </c>
      <c r="E29" s="83" t="s">
        <v>529</v>
      </c>
      <c r="F29" s="83" t="s">
        <v>535</v>
      </c>
      <c r="G29" s="83"/>
      <c r="H29" s="115">
        <v>0.689409722222222</v>
      </c>
      <c r="I29" s="95">
        <v>0.692881944444444</v>
      </c>
      <c r="J29" s="94">
        <v>0.00347222222222222</v>
      </c>
      <c r="K29" s="94" t="s">
        <v>536</v>
      </c>
      <c r="L29" s="95">
        <v>0.0609375</v>
      </c>
      <c r="M29" s="96">
        <v>117</v>
      </c>
      <c r="N29" s="83">
        <v>234</v>
      </c>
      <c r="O29" s="97" t="s">
        <v>520</v>
      </c>
      <c r="P29" s="83" t="s">
        <v>520</v>
      </c>
      <c r="Q29" s="131" t="s">
        <v>531</v>
      </c>
    </row>
    <row r="30" spans="1:17">
      <c r="A30" s="131" t="s">
        <v>42</v>
      </c>
      <c r="B30" s="82" t="s">
        <v>526</v>
      </c>
      <c r="C30" s="82" t="s">
        <v>527</v>
      </c>
      <c r="D30" s="82" t="s">
        <v>537</v>
      </c>
      <c r="E30" s="83" t="s">
        <v>529</v>
      </c>
      <c r="F30" s="83"/>
      <c r="G30" s="83" t="s">
        <v>530</v>
      </c>
      <c r="H30" s="115">
        <v>0.354166666666667</v>
      </c>
      <c r="I30" s="95">
        <v>0.354166666666667</v>
      </c>
      <c r="J30" s="94">
        <v>0</v>
      </c>
      <c r="K30" s="94" t="s">
        <v>518</v>
      </c>
      <c r="L30" s="95"/>
      <c r="M30" s="96"/>
      <c r="N30" s="83"/>
      <c r="O30" s="97" t="s">
        <v>520</v>
      </c>
      <c r="P30" s="83" t="s">
        <v>520</v>
      </c>
      <c r="Q30" s="131" t="s">
        <v>531</v>
      </c>
    </row>
    <row r="31" spans="1:17">
      <c r="A31" s="131" t="s">
        <v>42</v>
      </c>
      <c r="B31" s="82" t="s">
        <v>538</v>
      </c>
      <c r="C31" s="82" t="s">
        <v>527</v>
      </c>
      <c r="D31" s="82" t="s">
        <v>537</v>
      </c>
      <c r="E31" s="83" t="s">
        <v>529</v>
      </c>
      <c r="F31" s="83"/>
      <c r="G31" s="83" t="s">
        <v>530</v>
      </c>
      <c r="H31" s="115">
        <v>0.411111111111111</v>
      </c>
      <c r="I31" s="95">
        <v>0.414583333333333</v>
      </c>
      <c r="J31" s="94">
        <v>0.00347222222222222</v>
      </c>
      <c r="K31" s="94" t="s">
        <v>518</v>
      </c>
      <c r="L31" s="95">
        <v>0.0572916666666667</v>
      </c>
      <c r="M31" s="96">
        <v>110</v>
      </c>
      <c r="N31" s="83">
        <v>110</v>
      </c>
      <c r="O31" s="97" t="s">
        <v>539</v>
      </c>
      <c r="P31" s="83" t="s">
        <v>540</v>
      </c>
      <c r="Q31" s="131" t="s">
        <v>531</v>
      </c>
    </row>
    <row r="32" spans="1:17">
      <c r="A32" s="131" t="s">
        <v>42</v>
      </c>
      <c r="B32" s="82" t="s">
        <v>538</v>
      </c>
      <c r="C32" s="82" t="s">
        <v>527</v>
      </c>
      <c r="D32" s="82" t="s">
        <v>537</v>
      </c>
      <c r="E32" s="83" t="s">
        <v>529</v>
      </c>
      <c r="F32" s="83" t="s">
        <v>535</v>
      </c>
      <c r="G32" s="83"/>
      <c r="H32" s="115">
        <v>0.625</v>
      </c>
      <c r="I32" s="95">
        <v>0.628472222222222</v>
      </c>
      <c r="J32" s="94">
        <v>0.00347222222222222</v>
      </c>
      <c r="K32" s="94" t="s">
        <v>536</v>
      </c>
      <c r="L32" s="95">
        <v>0</v>
      </c>
      <c r="M32" s="96">
        <v>0</v>
      </c>
      <c r="N32" s="83">
        <v>110</v>
      </c>
      <c r="O32" s="97" t="s">
        <v>539</v>
      </c>
      <c r="P32" s="83" t="s">
        <v>540</v>
      </c>
      <c r="Q32" s="131" t="s">
        <v>531</v>
      </c>
    </row>
    <row r="33" spans="1:17">
      <c r="A33" s="131" t="s">
        <v>42</v>
      </c>
      <c r="B33" s="82" t="s">
        <v>526</v>
      </c>
      <c r="C33" s="82" t="s">
        <v>527</v>
      </c>
      <c r="D33" s="82" t="s">
        <v>537</v>
      </c>
      <c r="E33" s="83" t="s">
        <v>529</v>
      </c>
      <c r="F33" s="83" t="s">
        <v>535</v>
      </c>
      <c r="G33" s="83"/>
      <c r="H33" s="115">
        <v>0.685763888888889</v>
      </c>
      <c r="I33" s="95">
        <v>0.689236111111111</v>
      </c>
      <c r="J33" s="94">
        <v>0.00347222222222222</v>
      </c>
      <c r="K33" s="94" t="s">
        <v>536</v>
      </c>
      <c r="L33" s="95">
        <v>0.0572916666666667</v>
      </c>
      <c r="M33" s="96">
        <v>110</v>
      </c>
      <c r="N33" s="83">
        <v>220</v>
      </c>
      <c r="O33" s="97" t="s">
        <v>520</v>
      </c>
      <c r="P33" s="83" t="s">
        <v>520</v>
      </c>
      <c r="Q33" s="131" t="s">
        <v>531</v>
      </c>
    </row>
    <row r="34" spans="1:17">
      <c r="A34" s="131" t="s">
        <v>42</v>
      </c>
      <c r="B34" s="82" t="s">
        <v>526</v>
      </c>
      <c r="C34" s="82" t="s">
        <v>527</v>
      </c>
      <c r="D34" s="82" t="s">
        <v>541</v>
      </c>
      <c r="E34" s="83" t="s">
        <v>529</v>
      </c>
      <c r="F34" s="83"/>
      <c r="G34" s="83" t="s">
        <v>530</v>
      </c>
      <c r="H34" s="115">
        <v>0.333333333333333</v>
      </c>
      <c r="I34" s="95">
        <v>0.354166666666667</v>
      </c>
      <c r="J34" s="94">
        <v>0.0208333333333333</v>
      </c>
      <c r="K34" s="94" t="s">
        <v>518</v>
      </c>
      <c r="L34" s="95"/>
      <c r="M34" s="96"/>
      <c r="N34" s="83"/>
      <c r="O34" s="97" t="s">
        <v>520</v>
      </c>
      <c r="P34" s="83" t="s">
        <v>520</v>
      </c>
      <c r="Q34" s="131" t="s">
        <v>531</v>
      </c>
    </row>
    <row r="35" spans="1:17">
      <c r="A35" s="131" t="s">
        <v>42</v>
      </c>
      <c r="B35" s="82" t="s">
        <v>542</v>
      </c>
      <c r="C35" s="82" t="s">
        <v>527</v>
      </c>
      <c r="D35" s="82" t="s">
        <v>541</v>
      </c>
      <c r="E35" s="83" t="s">
        <v>529</v>
      </c>
      <c r="F35" s="83" t="s">
        <v>535</v>
      </c>
      <c r="G35" s="83"/>
      <c r="H35" s="115">
        <v>0.361742424242424</v>
      </c>
      <c r="I35" s="95">
        <v>0.365214646464646</v>
      </c>
      <c r="J35" s="94">
        <v>0.00347222222222222</v>
      </c>
      <c r="K35" s="94" t="s">
        <v>518</v>
      </c>
      <c r="L35" s="95">
        <v>0.00757575757575758</v>
      </c>
      <c r="M35" s="96">
        <v>10</v>
      </c>
      <c r="N35" s="83">
        <v>10</v>
      </c>
      <c r="O35" s="97" t="s">
        <v>543</v>
      </c>
      <c r="P35" s="83" t="s">
        <v>544</v>
      </c>
      <c r="Q35" s="131" t="s">
        <v>531</v>
      </c>
    </row>
    <row r="36" spans="1:17">
      <c r="A36" s="131" t="s">
        <v>42</v>
      </c>
      <c r="B36" s="82" t="s">
        <v>545</v>
      </c>
      <c r="C36" s="82" t="s">
        <v>527</v>
      </c>
      <c r="D36" s="82" t="s">
        <v>541</v>
      </c>
      <c r="E36" s="83" t="s">
        <v>529</v>
      </c>
      <c r="F36" s="83" t="s">
        <v>535</v>
      </c>
      <c r="G36" s="83"/>
      <c r="H36" s="115">
        <v>0.388877197904976</v>
      </c>
      <c r="I36" s="95">
        <v>0.392349420127198</v>
      </c>
      <c r="J36" s="94">
        <v>0.00347222222222222</v>
      </c>
      <c r="K36" s="94" t="s">
        <v>518</v>
      </c>
      <c r="L36" s="95">
        <v>0.0236625514403292</v>
      </c>
      <c r="M36" s="96">
        <v>46</v>
      </c>
      <c r="N36" s="83">
        <v>56</v>
      </c>
      <c r="O36" s="97" t="s">
        <v>546</v>
      </c>
      <c r="P36" s="83" t="s">
        <v>547</v>
      </c>
      <c r="Q36" s="131" t="s">
        <v>531</v>
      </c>
    </row>
    <row r="37" spans="1:17">
      <c r="A37" s="131" t="s">
        <v>42</v>
      </c>
      <c r="B37" s="82" t="s">
        <v>545</v>
      </c>
      <c r="C37" s="82" t="s">
        <v>527</v>
      </c>
      <c r="D37" s="82" t="s">
        <v>541</v>
      </c>
      <c r="E37" s="83" t="s">
        <v>529</v>
      </c>
      <c r="F37" s="83" t="s">
        <v>535</v>
      </c>
      <c r="G37" s="83"/>
      <c r="H37" s="115">
        <v>0.666666666666667</v>
      </c>
      <c r="I37" s="95">
        <v>0.670138888888889</v>
      </c>
      <c r="J37" s="94">
        <v>0.00347222222222222</v>
      </c>
      <c r="K37" s="94" t="s">
        <v>536</v>
      </c>
      <c r="L37" s="95">
        <v>0</v>
      </c>
      <c r="M37" s="96">
        <v>0</v>
      </c>
      <c r="N37" s="83">
        <v>56</v>
      </c>
      <c r="O37" s="97" t="s">
        <v>546</v>
      </c>
      <c r="P37" s="83" t="s">
        <v>547</v>
      </c>
      <c r="Q37" s="131" t="s">
        <v>531</v>
      </c>
    </row>
    <row r="38" spans="1:17">
      <c r="A38" s="131" t="s">
        <v>42</v>
      </c>
      <c r="B38" s="82" t="s">
        <v>542</v>
      </c>
      <c r="C38" s="82" t="s">
        <v>527</v>
      </c>
      <c r="D38" s="82" t="s">
        <v>541</v>
      </c>
      <c r="E38" s="83" t="s">
        <v>529</v>
      </c>
      <c r="F38" s="83" t="s">
        <v>535</v>
      </c>
      <c r="G38" s="83"/>
      <c r="H38" s="115">
        <v>0.693801440329218</v>
      </c>
      <c r="I38" s="95">
        <v>0.69727366255144</v>
      </c>
      <c r="J38" s="94">
        <v>0.00347222222222222</v>
      </c>
      <c r="K38" s="94" t="s">
        <v>536</v>
      </c>
      <c r="L38" s="95">
        <v>0.0236625514403292</v>
      </c>
      <c r="M38" s="96">
        <v>46</v>
      </c>
      <c r="N38" s="83">
        <v>102</v>
      </c>
      <c r="O38" s="97" t="s">
        <v>543</v>
      </c>
      <c r="P38" s="83" t="s">
        <v>544</v>
      </c>
      <c r="Q38" s="131" t="s">
        <v>531</v>
      </c>
    </row>
    <row r="39" spans="1:17">
      <c r="A39" s="131" t="s">
        <v>42</v>
      </c>
      <c r="B39" s="82" t="s">
        <v>526</v>
      </c>
      <c r="C39" s="82" t="s">
        <v>527</v>
      </c>
      <c r="D39" s="82" t="s">
        <v>541</v>
      </c>
      <c r="E39" s="83" t="s">
        <v>529</v>
      </c>
      <c r="F39" s="83" t="s">
        <v>535</v>
      </c>
      <c r="G39" s="83"/>
      <c r="H39" s="115">
        <v>0.704218106995885</v>
      </c>
      <c r="I39" s="95">
        <v>0.707690329218107</v>
      </c>
      <c r="J39" s="94">
        <v>0.00347222222222222</v>
      </c>
      <c r="K39" s="94" t="s">
        <v>536</v>
      </c>
      <c r="L39" s="95">
        <v>0.00694444444444444</v>
      </c>
      <c r="M39" s="96">
        <v>10</v>
      </c>
      <c r="N39" s="83">
        <v>112</v>
      </c>
      <c r="O39" s="97" t="s">
        <v>520</v>
      </c>
      <c r="P39" s="83" t="s">
        <v>520</v>
      </c>
      <c r="Q39" s="131" t="s">
        <v>531</v>
      </c>
    </row>
    <row r="40" spans="1:17">
      <c r="A40" s="131" t="s">
        <v>42</v>
      </c>
      <c r="B40" s="82" t="s">
        <v>60</v>
      </c>
      <c r="C40" s="82" t="s">
        <v>527</v>
      </c>
      <c r="D40" s="82" t="s">
        <v>548</v>
      </c>
      <c r="E40" s="83" t="s">
        <v>529</v>
      </c>
      <c r="F40" s="83"/>
      <c r="G40" s="83" t="s">
        <v>530</v>
      </c>
      <c r="H40" s="115">
        <v>0.395833333333333</v>
      </c>
      <c r="I40" s="95">
        <v>0.354166666666667</v>
      </c>
      <c r="J40" s="94">
        <v>0</v>
      </c>
      <c r="K40" s="94" t="s">
        <v>518</v>
      </c>
      <c r="L40" s="95"/>
      <c r="M40" s="96"/>
      <c r="N40" s="83"/>
      <c r="O40" s="97" t="s">
        <v>524</v>
      </c>
      <c r="P40" s="83" t="s">
        <v>51</v>
      </c>
      <c r="Q40" s="131" t="s">
        <v>531</v>
      </c>
    </row>
    <row r="41" spans="1:17">
      <c r="A41" s="131" t="s">
        <v>42</v>
      </c>
      <c r="B41" s="82" t="s">
        <v>549</v>
      </c>
      <c r="C41" s="82" t="s">
        <v>527</v>
      </c>
      <c r="D41" s="82" t="s">
        <v>548</v>
      </c>
      <c r="E41" s="83" t="s">
        <v>529</v>
      </c>
      <c r="F41" s="83" t="s">
        <v>535</v>
      </c>
      <c r="G41" s="83"/>
      <c r="H41" s="115">
        <v>0.429398148148148</v>
      </c>
      <c r="I41" s="95">
        <v>0.43287037037037</v>
      </c>
      <c r="J41" s="94">
        <v>0.00347222222222222</v>
      </c>
      <c r="K41" s="94" t="s">
        <v>518</v>
      </c>
      <c r="L41" s="95">
        <v>0.0752314814814815</v>
      </c>
      <c r="M41" s="96">
        <v>65</v>
      </c>
      <c r="N41" s="83">
        <v>65</v>
      </c>
      <c r="O41" s="97" t="s">
        <v>550</v>
      </c>
      <c r="P41" s="83" t="s">
        <v>551</v>
      </c>
      <c r="Q41" s="131" t="s">
        <v>531</v>
      </c>
    </row>
    <row r="42" spans="1:17">
      <c r="A42" s="131" t="s">
        <v>42</v>
      </c>
      <c r="B42" s="82" t="s">
        <v>549</v>
      </c>
      <c r="C42" s="82" t="s">
        <v>527</v>
      </c>
      <c r="D42" s="82" t="s">
        <v>548</v>
      </c>
      <c r="E42" s="83" t="s">
        <v>529</v>
      </c>
      <c r="F42" s="83" t="s">
        <v>535</v>
      </c>
      <c r="G42" s="83"/>
      <c r="H42" s="115">
        <v>0.4375</v>
      </c>
      <c r="I42" s="95">
        <v>0.440972222222222</v>
      </c>
      <c r="J42" s="94">
        <v>0.00347222222222222</v>
      </c>
      <c r="K42" s="94" t="s">
        <v>518</v>
      </c>
      <c r="L42" s="95">
        <v>0</v>
      </c>
      <c r="M42" s="96">
        <v>0</v>
      </c>
      <c r="N42" s="83">
        <v>65</v>
      </c>
      <c r="O42" s="97" t="s">
        <v>552</v>
      </c>
      <c r="P42" s="83" t="s">
        <v>551</v>
      </c>
      <c r="Q42" s="131" t="s">
        <v>531</v>
      </c>
    </row>
    <row r="43" spans="1:17">
      <c r="A43" s="131" t="s">
        <v>42</v>
      </c>
      <c r="B43" s="82" t="s">
        <v>60</v>
      </c>
      <c r="C43" s="82" t="s">
        <v>527</v>
      </c>
      <c r="D43" s="82" t="s">
        <v>548</v>
      </c>
      <c r="E43" s="83" t="s">
        <v>529</v>
      </c>
      <c r="F43" s="83" t="s">
        <v>535</v>
      </c>
      <c r="G43" s="83"/>
      <c r="H43" s="115">
        <v>0.474826388888889</v>
      </c>
      <c r="I43" s="95">
        <v>0.478298611111111</v>
      </c>
      <c r="J43" s="94">
        <v>0.00347222222222222</v>
      </c>
      <c r="K43" s="94" t="s">
        <v>518</v>
      </c>
      <c r="L43" s="95">
        <v>0.0338541666666667</v>
      </c>
      <c r="M43" s="96">
        <v>65</v>
      </c>
      <c r="N43" s="83">
        <v>130</v>
      </c>
      <c r="O43" s="97" t="s">
        <v>524</v>
      </c>
      <c r="P43" s="83" t="s">
        <v>51</v>
      </c>
      <c r="Q43" s="131" t="s">
        <v>531</v>
      </c>
    </row>
    <row r="44" spans="1:17">
      <c r="A44" s="131" t="s">
        <v>42</v>
      </c>
      <c r="B44" s="82" t="s">
        <v>60</v>
      </c>
      <c r="C44" s="82" t="s">
        <v>527</v>
      </c>
      <c r="D44" s="82" t="s">
        <v>553</v>
      </c>
      <c r="E44" s="83" t="s">
        <v>529</v>
      </c>
      <c r="F44" s="83"/>
      <c r="G44" s="83" t="s">
        <v>530</v>
      </c>
      <c r="H44" s="115">
        <v>0.6875</v>
      </c>
      <c r="I44" s="95">
        <v>0.6875</v>
      </c>
      <c r="J44" s="94">
        <v>0</v>
      </c>
      <c r="K44" s="94" t="s">
        <v>536</v>
      </c>
      <c r="L44" s="95"/>
      <c r="M44" s="96"/>
      <c r="N44" s="83"/>
      <c r="O44" s="97" t="s">
        <v>524</v>
      </c>
      <c r="P44" s="83" t="s">
        <v>51</v>
      </c>
      <c r="Q44" s="131" t="s">
        <v>531</v>
      </c>
    </row>
    <row r="45" spans="1:17">
      <c r="A45" s="131" t="s">
        <v>42</v>
      </c>
      <c r="B45" s="82" t="s">
        <v>549</v>
      </c>
      <c r="C45" s="82" t="s">
        <v>527</v>
      </c>
      <c r="D45" s="82" t="s">
        <v>553</v>
      </c>
      <c r="E45" s="83" t="s">
        <v>529</v>
      </c>
      <c r="F45" s="83" t="s">
        <v>535</v>
      </c>
      <c r="G45" s="83"/>
      <c r="H45" s="115">
        <v>0.721354166666667</v>
      </c>
      <c r="I45" s="95">
        <v>0.724826388888889</v>
      </c>
      <c r="J45" s="94">
        <v>0.00347222222222222</v>
      </c>
      <c r="K45" s="94" t="s">
        <v>536</v>
      </c>
      <c r="L45" s="95">
        <v>0.0338541666666667</v>
      </c>
      <c r="M45" s="96">
        <v>65</v>
      </c>
      <c r="N45" s="83">
        <v>65</v>
      </c>
      <c r="O45" s="97" t="s">
        <v>550</v>
      </c>
      <c r="P45" s="83" t="s">
        <v>551</v>
      </c>
      <c r="Q45" s="131" t="s">
        <v>531</v>
      </c>
    </row>
    <row r="46" spans="1:17">
      <c r="A46" s="131" t="s">
        <v>42</v>
      </c>
      <c r="B46" s="82" t="s">
        <v>549</v>
      </c>
      <c r="C46" s="82" t="s">
        <v>527</v>
      </c>
      <c r="D46" s="82" t="s">
        <v>553</v>
      </c>
      <c r="E46" s="83" t="s">
        <v>529</v>
      </c>
      <c r="F46" s="83" t="s">
        <v>535</v>
      </c>
      <c r="G46" s="83"/>
      <c r="H46" s="115">
        <v>0.729166666666667</v>
      </c>
      <c r="I46" s="95">
        <v>0.732638888888889</v>
      </c>
      <c r="J46" s="94">
        <v>0.00347222222222222</v>
      </c>
      <c r="K46" s="94" t="s">
        <v>536</v>
      </c>
      <c r="L46" s="95">
        <v>0</v>
      </c>
      <c r="M46" s="96">
        <v>0</v>
      </c>
      <c r="N46" s="83">
        <v>65</v>
      </c>
      <c r="O46" s="97" t="s">
        <v>552</v>
      </c>
      <c r="P46" s="83" t="s">
        <v>551</v>
      </c>
      <c r="Q46" s="131" t="s">
        <v>531</v>
      </c>
    </row>
    <row r="47" spans="1:17">
      <c r="A47" s="131" t="s">
        <v>42</v>
      </c>
      <c r="B47" s="82" t="s">
        <v>60</v>
      </c>
      <c r="C47" s="82" t="s">
        <v>527</v>
      </c>
      <c r="D47" s="82" t="s">
        <v>553</v>
      </c>
      <c r="E47" s="83" t="s">
        <v>529</v>
      </c>
      <c r="F47" s="83" t="s">
        <v>535</v>
      </c>
      <c r="G47" s="83"/>
      <c r="H47" s="115">
        <v>0.766493055555555</v>
      </c>
      <c r="I47" s="95">
        <v>0.769965277777778</v>
      </c>
      <c r="J47" s="94">
        <v>0.00347222222222222</v>
      </c>
      <c r="K47" s="94" t="s">
        <v>536</v>
      </c>
      <c r="L47" s="95">
        <v>0.0338541666666667</v>
      </c>
      <c r="M47" s="96">
        <v>65</v>
      </c>
      <c r="N47" s="83">
        <v>130</v>
      </c>
      <c r="O47" s="97" t="s">
        <v>524</v>
      </c>
      <c r="P47" s="83" t="s">
        <v>51</v>
      </c>
      <c r="Q47" s="131" t="s">
        <v>531</v>
      </c>
    </row>
    <row r="48" spans="1:17">
      <c r="A48" s="131" t="s">
        <v>42</v>
      </c>
      <c r="B48" s="82" t="s">
        <v>554</v>
      </c>
      <c r="C48" s="82" t="s">
        <v>555</v>
      </c>
      <c r="D48" s="82" t="s">
        <v>556</v>
      </c>
      <c r="E48" s="83" t="s">
        <v>529</v>
      </c>
      <c r="F48" s="83"/>
      <c r="G48" s="83" t="s">
        <v>530</v>
      </c>
      <c r="H48" s="115">
        <v>0.416666666666667</v>
      </c>
      <c r="I48" s="95">
        <v>0.4375</v>
      </c>
      <c r="J48" s="94">
        <v>0.0416666666666667</v>
      </c>
      <c r="K48" s="94" t="s">
        <v>518</v>
      </c>
      <c r="L48" s="95"/>
      <c r="M48" s="96"/>
      <c r="N48" s="83"/>
      <c r="O48" s="97" t="s">
        <v>557</v>
      </c>
      <c r="P48" s="83" t="s">
        <v>558</v>
      </c>
      <c r="Q48" s="131" t="s">
        <v>525</v>
      </c>
    </row>
    <row r="49" spans="1:17">
      <c r="A49" s="131" t="s">
        <v>42</v>
      </c>
      <c r="B49" s="82" t="s">
        <v>49</v>
      </c>
      <c r="C49" s="82" t="s">
        <v>555</v>
      </c>
      <c r="D49" s="82" t="s">
        <v>556</v>
      </c>
      <c r="E49" s="83" t="s">
        <v>529</v>
      </c>
      <c r="F49" s="83" t="s">
        <v>535</v>
      </c>
      <c r="G49" s="83"/>
      <c r="H49" s="115">
        <v>0.75</v>
      </c>
      <c r="I49" s="95">
        <v>0.770833333333333</v>
      </c>
      <c r="J49" s="94">
        <v>0.0416666666666667</v>
      </c>
      <c r="K49" s="94" t="s">
        <v>536</v>
      </c>
      <c r="L49" s="95">
        <v>0.382638888888889</v>
      </c>
      <c r="M49" s="96">
        <v>790</v>
      </c>
      <c r="N49" s="96">
        <v>790</v>
      </c>
      <c r="O49" s="97" t="s">
        <v>559</v>
      </c>
      <c r="P49" s="83" t="s">
        <v>51</v>
      </c>
      <c r="Q49" s="131" t="s">
        <v>525</v>
      </c>
    </row>
    <row r="50" spans="1:17">
      <c r="A50" s="131" t="s">
        <v>42</v>
      </c>
      <c r="B50" s="82" t="s">
        <v>71</v>
      </c>
      <c r="C50" s="82" t="s">
        <v>555</v>
      </c>
      <c r="D50" s="82" t="s">
        <v>560</v>
      </c>
      <c r="E50" s="83" t="s">
        <v>561</v>
      </c>
      <c r="F50" s="83"/>
      <c r="G50" s="83" t="s">
        <v>530</v>
      </c>
      <c r="H50" s="115">
        <v>0.375</v>
      </c>
      <c r="I50" s="95">
        <v>0.395833333333333</v>
      </c>
      <c r="J50" s="94">
        <v>0.0208333333333333</v>
      </c>
      <c r="K50" s="94" t="s">
        <v>518</v>
      </c>
      <c r="L50" s="95"/>
      <c r="M50" s="96"/>
      <c r="N50" s="83"/>
      <c r="O50" s="97" t="s">
        <v>557</v>
      </c>
      <c r="P50" s="83" t="s">
        <v>558</v>
      </c>
      <c r="Q50" s="131" t="s">
        <v>525</v>
      </c>
    </row>
    <row r="51" spans="1:17">
      <c r="A51" s="131" t="s">
        <v>42</v>
      </c>
      <c r="B51" s="82" t="s">
        <v>71</v>
      </c>
      <c r="C51" s="82" t="s">
        <v>555</v>
      </c>
      <c r="D51" s="82" t="s">
        <v>560</v>
      </c>
      <c r="E51" s="83" t="s">
        <v>561</v>
      </c>
      <c r="F51" s="83"/>
      <c r="G51" s="83" t="s">
        <v>530</v>
      </c>
      <c r="H51" s="115">
        <v>0.40625</v>
      </c>
      <c r="I51" s="95">
        <v>0.5</v>
      </c>
      <c r="J51" s="94">
        <v>0.09375</v>
      </c>
      <c r="K51" s="94" t="s">
        <v>518</v>
      </c>
      <c r="L51" s="95"/>
      <c r="M51" s="96"/>
      <c r="N51" s="83"/>
      <c r="O51" s="97" t="s">
        <v>562</v>
      </c>
      <c r="P51" s="83" t="s">
        <v>558</v>
      </c>
      <c r="Q51" s="131" t="s">
        <v>525</v>
      </c>
    </row>
    <row r="52" spans="1:17">
      <c r="A52" s="131" t="s">
        <v>42</v>
      </c>
      <c r="B52" s="82" t="s">
        <v>101</v>
      </c>
      <c r="C52" s="82" t="s">
        <v>555</v>
      </c>
      <c r="D52" s="82" t="s">
        <v>560</v>
      </c>
      <c r="E52" s="83" t="s">
        <v>561</v>
      </c>
      <c r="F52" s="83" t="s">
        <v>535</v>
      </c>
      <c r="G52" s="83" t="s">
        <v>530</v>
      </c>
      <c r="H52" s="115">
        <v>0.812932226832642</v>
      </c>
      <c r="I52" s="95">
        <v>0.90625</v>
      </c>
      <c r="J52" s="94">
        <v>0.09375</v>
      </c>
      <c r="K52" s="94" t="s">
        <v>536</v>
      </c>
      <c r="L52" s="95">
        <v>0.212441314553991</v>
      </c>
      <c r="M52" s="96">
        <v>362</v>
      </c>
      <c r="N52" s="83">
        <v>362</v>
      </c>
      <c r="O52" s="97" t="s">
        <v>563</v>
      </c>
      <c r="P52" s="83" t="s">
        <v>564</v>
      </c>
      <c r="Q52" s="131" t="s">
        <v>525</v>
      </c>
    </row>
    <row r="53" spans="1:17">
      <c r="A53" s="131" t="s">
        <v>42</v>
      </c>
      <c r="B53" s="82" t="s">
        <v>101</v>
      </c>
      <c r="C53" s="82" t="s">
        <v>555</v>
      </c>
      <c r="D53" s="82" t="s">
        <v>560</v>
      </c>
      <c r="E53" s="83" t="s">
        <v>561</v>
      </c>
      <c r="F53" s="83" t="s">
        <v>535</v>
      </c>
      <c r="G53" s="83"/>
      <c r="H53" s="115">
        <v>0.208333333333333</v>
      </c>
      <c r="I53" s="95">
        <v>0.25</v>
      </c>
      <c r="J53" s="94">
        <v>0.0416666666666667</v>
      </c>
      <c r="K53" s="94" t="s">
        <v>518</v>
      </c>
      <c r="L53" s="95"/>
      <c r="M53" s="96"/>
      <c r="N53" s="83">
        <v>362</v>
      </c>
      <c r="O53" s="97" t="s">
        <v>565</v>
      </c>
      <c r="P53" s="83" t="s">
        <v>564</v>
      </c>
      <c r="Q53" s="131" t="s">
        <v>525</v>
      </c>
    </row>
    <row r="54" spans="1:17">
      <c r="A54" s="131" t="s">
        <v>42</v>
      </c>
      <c r="B54" s="82" t="s">
        <v>71</v>
      </c>
      <c r="C54" s="82" t="s">
        <v>555</v>
      </c>
      <c r="D54" s="82" t="s">
        <v>566</v>
      </c>
      <c r="E54" s="83" t="s">
        <v>561</v>
      </c>
      <c r="F54" s="83"/>
      <c r="G54" s="83" t="s">
        <v>530</v>
      </c>
      <c r="H54" s="115">
        <v>0.333333333333333</v>
      </c>
      <c r="I54" s="95">
        <v>0.375</v>
      </c>
      <c r="J54" s="94">
        <v>0.0416666666666667</v>
      </c>
      <c r="K54" s="94" t="s">
        <v>518</v>
      </c>
      <c r="L54" s="95"/>
      <c r="M54" s="96"/>
      <c r="N54" s="83"/>
      <c r="O54" s="97" t="s">
        <v>557</v>
      </c>
      <c r="P54" s="83" t="s">
        <v>558</v>
      </c>
      <c r="Q54" s="131" t="s">
        <v>525</v>
      </c>
    </row>
    <row r="55" spans="1:17">
      <c r="A55" s="131" t="s">
        <v>42</v>
      </c>
      <c r="B55" s="82" t="s">
        <v>71</v>
      </c>
      <c r="C55" s="82" t="s">
        <v>555</v>
      </c>
      <c r="D55" s="82" t="s">
        <v>566</v>
      </c>
      <c r="E55" s="83" t="s">
        <v>561</v>
      </c>
      <c r="F55" s="83"/>
      <c r="G55" s="83" t="s">
        <v>530</v>
      </c>
      <c r="H55" s="115">
        <v>0.395833333333333</v>
      </c>
      <c r="I55" s="95">
        <v>0.5</v>
      </c>
      <c r="J55" s="94">
        <v>0.104166666666667</v>
      </c>
      <c r="K55" s="94" t="s">
        <v>518</v>
      </c>
      <c r="L55" s="95">
        <v>0.0208333333333333</v>
      </c>
      <c r="M55" s="96"/>
      <c r="N55" s="83"/>
      <c r="O55" s="97" t="s">
        <v>562</v>
      </c>
      <c r="P55" s="83" t="s">
        <v>558</v>
      </c>
      <c r="Q55" s="131" t="s">
        <v>525</v>
      </c>
    </row>
    <row r="56" spans="1:17">
      <c r="A56" s="131" t="s">
        <v>42</v>
      </c>
      <c r="B56" s="82" t="s">
        <v>567</v>
      </c>
      <c r="C56" s="82" t="s">
        <v>555</v>
      </c>
      <c r="D56" s="82" t="s">
        <v>566</v>
      </c>
      <c r="E56" s="83" t="s">
        <v>561</v>
      </c>
      <c r="F56" s="83" t="s">
        <v>535</v>
      </c>
      <c r="G56" s="83"/>
      <c r="H56" s="115">
        <v>0.833333333333333</v>
      </c>
      <c r="I56" s="95">
        <v>0.958333333333333</v>
      </c>
      <c r="J56" s="94">
        <v>0.125</v>
      </c>
      <c r="K56" s="94" t="s">
        <v>522</v>
      </c>
      <c r="L56" s="95">
        <v>0.201111111111111</v>
      </c>
      <c r="M56" s="96">
        <v>362</v>
      </c>
      <c r="N56" s="83">
        <v>362</v>
      </c>
      <c r="O56" s="97" t="s">
        <v>563</v>
      </c>
      <c r="P56" s="83" t="s">
        <v>564</v>
      </c>
      <c r="Q56" s="131" t="s">
        <v>525</v>
      </c>
    </row>
    <row r="57" spans="1:17">
      <c r="A57" s="131" t="s">
        <v>42</v>
      </c>
      <c r="B57" s="82" t="s">
        <v>567</v>
      </c>
      <c r="C57" s="82" t="s">
        <v>555</v>
      </c>
      <c r="D57" s="82" t="s">
        <v>566</v>
      </c>
      <c r="E57" s="83" t="s">
        <v>561</v>
      </c>
      <c r="F57" s="83" t="s">
        <v>535</v>
      </c>
      <c r="G57" s="83"/>
      <c r="H57" s="115">
        <v>0.208333333333333</v>
      </c>
      <c r="I57" s="95">
        <v>0.25</v>
      </c>
      <c r="J57" s="94">
        <v>0.0416666666666667</v>
      </c>
      <c r="K57" s="94" t="s">
        <v>518</v>
      </c>
      <c r="L57" s="95"/>
      <c r="M57" s="96">
        <v>225</v>
      </c>
      <c r="N57" s="83">
        <v>587</v>
      </c>
      <c r="O57" s="97" t="s">
        <v>568</v>
      </c>
      <c r="P57" s="83" t="s">
        <v>564</v>
      </c>
      <c r="Q57" s="131" t="s">
        <v>525</v>
      </c>
    </row>
    <row r="58" spans="1:17">
      <c r="A58" s="131" t="s">
        <v>42</v>
      </c>
      <c r="B58" s="82" t="s">
        <v>60</v>
      </c>
      <c r="C58" s="82" t="s">
        <v>569</v>
      </c>
      <c r="D58" s="82" t="s">
        <v>570</v>
      </c>
      <c r="E58" s="83" t="s">
        <v>571</v>
      </c>
      <c r="F58" s="83" t="s">
        <v>535</v>
      </c>
      <c r="G58" s="83" t="s">
        <v>530</v>
      </c>
      <c r="H58" s="115">
        <v>0.875518085908063</v>
      </c>
      <c r="I58" s="95">
        <v>0.91718475257473</v>
      </c>
      <c r="J58" s="94">
        <v>0.0416666666666667</v>
      </c>
      <c r="K58" s="94" t="s">
        <v>536</v>
      </c>
      <c r="L58" s="95">
        <v>0.793452380952381</v>
      </c>
      <c r="M58" s="96">
        <v>1361</v>
      </c>
      <c r="N58" s="96">
        <v>1361</v>
      </c>
      <c r="O58" s="97" t="s">
        <v>524</v>
      </c>
      <c r="P58" s="83" t="s">
        <v>51</v>
      </c>
      <c r="Q58" s="131" t="s">
        <v>572</v>
      </c>
    </row>
    <row r="59" spans="1:17">
      <c r="A59" s="131" t="s">
        <v>42</v>
      </c>
      <c r="B59" s="82" t="s">
        <v>49</v>
      </c>
      <c r="C59" s="82" t="s">
        <v>569</v>
      </c>
      <c r="D59" s="82" t="s">
        <v>570</v>
      </c>
      <c r="E59" s="83" t="s">
        <v>571</v>
      </c>
      <c r="F59" s="83" t="s">
        <v>535</v>
      </c>
      <c r="G59" s="83"/>
      <c r="H59" s="115">
        <v>0.125</v>
      </c>
      <c r="I59" s="95">
        <v>0.166666666666667</v>
      </c>
      <c r="J59" s="94">
        <v>0.0416666666666667</v>
      </c>
      <c r="K59" s="94" t="s">
        <v>522</v>
      </c>
      <c r="L59" s="95">
        <v>0.206111111111111</v>
      </c>
      <c r="M59" s="96">
        <v>370</v>
      </c>
      <c r="N59" s="83">
        <v>1731</v>
      </c>
      <c r="O59" s="97" t="s">
        <v>559</v>
      </c>
      <c r="P59" s="83" t="s">
        <v>51</v>
      </c>
      <c r="Q59" s="131" t="s">
        <v>572</v>
      </c>
    </row>
    <row r="60" spans="1:17">
      <c r="A60" s="131" t="s">
        <v>42</v>
      </c>
      <c r="B60" s="82" t="s">
        <v>49</v>
      </c>
      <c r="C60" s="82" t="s">
        <v>569</v>
      </c>
      <c r="D60" s="82" t="s">
        <v>570</v>
      </c>
      <c r="E60" s="83" t="s">
        <v>571</v>
      </c>
      <c r="F60" s="83"/>
      <c r="G60" s="83" t="s">
        <v>530</v>
      </c>
      <c r="H60" s="115">
        <v>0.833333333333333</v>
      </c>
      <c r="I60" s="95">
        <v>0.875</v>
      </c>
      <c r="J60" s="94">
        <v>0.0416666666666667</v>
      </c>
      <c r="K60" s="94" t="s">
        <v>536</v>
      </c>
      <c r="L60" s="95">
        <v>5.95238095238095e-5</v>
      </c>
      <c r="M60" s="96"/>
      <c r="N60" s="83">
        <v>1731</v>
      </c>
      <c r="O60" s="97" t="s">
        <v>559</v>
      </c>
      <c r="P60" s="83" t="s">
        <v>51</v>
      </c>
      <c r="Q60" s="131" t="s">
        <v>572</v>
      </c>
    </row>
    <row r="61" spans="1:17">
      <c r="A61" s="131" t="s">
        <v>42</v>
      </c>
      <c r="B61" s="82" t="s">
        <v>60</v>
      </c>
      <c r="C61" s="82" t="s">
        <v>569</v>
      </c>
      <c r="D61" s="82" t="s">
        <v>570</v>
      </c>
      <c r="E61" s="83" t="s">
        <v>571</v>
      </c>
      <c r="F61" s="83" t="s">
        <v>535</v>
      </c>
      <c r="G61" s="83" t="s">
        <v>530</v>
      </c>
      <c r="H61" s="115">
        <v>0.0833333333333333</v>
      </c>
      <c r="I61" s="95">
        <v>0.125</v>
      </c>
      <c r="J61" s="94">
        <v>0.0416666666666667</v>
      </c>
      <c r="K61" s="94" t="s">
        <v>522</v>
      </c>
      <c r="L61" s="95">
        <v>0.206111111111111</v>
      </c>
      <c r="M61" s="96">
        <v>370</v>
      </c>
      <c r="N61" s="83">
        <v>2101</v>
      </c>
      <c r="O61" s="97" t="s">
        <v>524</v>
      </c>
      <c r="P61" s="83" t="s">
        <v>51</v>
      </c>
      <c r="Q61" s="131" t="s">
        <v>572</v>
      </c>
    </row>
    <row r="62" spans="1:17">
      <c r="A62" s="131" t="s">
        <v>42</v>
      </c>
      <c r="B62" s="82" t="s">
        <v>60</v>
      </c>
      <c r="C62" s="82" t="s">
        <v>569</v>
      </c>
      <c r="D62" s="82" t="s">
        <v>573</v>
      </c>
      <c r="E62" s="83" t="s">
        <v>574</v>
      </c>
      <c r="F62" s="83" t="s">
        <v>535</v>
      </c>
      <c r="G62" s="83" t="s">
        <v>530</v>
      </c>
      <c r="H62" s="115">
        <v>0.916666666666667</v>
      </c>
      <c r="I62" s="95">
        <v>0.958333333333333</v>
      </c>
      <c r="J62" s="94">
        <v>0.0416666666666667</v>
      </c>
      <c r="K62" s="94" t="s">
        <v>522</v>
      </c>
      <c r="L62" s="95">
        <v>5.95238095238095e-5</v>
      </c>
      <c r="M62" s="96">
        <v>1358</v>
      </c>
      <c r="N62" s="96">
        <v>1358</v>
      </c>
      <c r="O62" s="97" t="s">
        <v>524</v>
      </c>
      <c r="P62" s="83" t="s">
        <v>51</v>
      </c>
      <c r="Q62" s="131" t="s">
        <v>572</v>
      </c>
    </row>
    <row r="63" spans="1:17">
      <c r="A63" s="131" t="s">
        <v>42</v>
      </c>
      <c r="B63" s="82" t="s">
        <v>49</v>
      </c>
      <c r="C63" s="82" t="s">
        <v>569</v>
      </c>
      <c r="D63" s="82" t="s">
        <v>573</v>
      </c>
      <c r="E63" s="83" t="s">
        <v>574</v>
      </c>
      <c r="F63" s="83" t="s">
        <v>535</v>
      </c>
      <c r="G63" s="83"/>
      <c r="H63" s="115">
        <v>0.166666666666667</v>
      </c>
      <c r="I63" s="95">
        <v>0.208333333333333</v>
      </c>
      <c r="J63" s="94">
        <v>0.0416666666666667</v>
      </c>
      <c r="K63" s="94" t="s">
        <v>518</v>
      </c>
      <c r="L63" s="95">
        <v>0.913541666666667</v>
      </c>
      <c r="M63" s="96">
        <v>370</v>
      </c>
      <c r="N63" s="96">
        <v>1728</v>
      </c>
      <c r="O63" s="97" t="s">
        <v>559</v>
      </c>
      <c r="P63" s="83" t="s">
        <v>51</v>
      </c>
      <c r="Q63" s="131" t="s">
        <v>572</v>
      </c>
    </row>
    <row r="64" spans="1:17">
      <c r="A64" s="131" t="s">
        <v>42</v>
      </c>
      <c r="B64" s="82" t="s">
        <v>49</v>
      </c>
      <c r="C64" s="82" t="s">
        <v>569</v>
      </c>
      <c r="D64" s="82" t="s">
        <v>573</v>
      </c>
      <c r="E64" s="83" t="s">
        <v>574</v>
      </c>
      <c r="F64" s="83"/>
      <c r="G64" s="83" t="s">
        <v>530</v>
      </c>
      <c r="H64" s="115">
        <v>0.75</v>
      </c>
      <c r="I64" s="95">
        <v>0.791666666666667</v>
      </c>
      <c r="J64" s="94">
        <v>0.0416666666666667</v>
      </c>
      <c r="K64" s="94" t="s">
        <v>536</v>
      </c>
      <c r="L64" s="95">
        <v>5.95238095238095e-5</v>
      </c>
      <c r="M64" s="96"/>
      <c r="N64" s="83"/>
      <c r="O64" s="97" t="s">
        <v>559</v>
      </c>
      <c r="P64" s="83" t="s">
        <v>51</v>
      </c>
      <c r="Q64" s="131" t="s">
        <v>572</v>
      </c>
    </row>
    <row r="65" spans="1:17">
      <c r="A65" s="131" t="s">
        <v>42</v>
      </c>
      <c r="B65" s="82" t="s">
        <v>60</v>
      </c>
      <c r="C65" s="82" t="s">
        <v>569</v>
      </c>
      <c r="D65" s="82" t="s">
        <v>573</v>
      </c>
      <c r="E65" s="83" t="s">
        <v>574</v>
      </c>
      <c r="F65" s="83" t="s">
        <v>535</v>
      </c>
      <c r="G65" s="83" t="s">
        <v>530</v>
      </c>
      <c r="H65" s="115">
        <v>0.0833333333333333</v>
      </c>
      <c r="I65" s="95">
        <v>0.125</v>
      </c>
      <c r="J65" s="94">
        <v>0.0416666666666667</v>
      </c>
      <c r="K65" s="94" t="s">
        <v>522</v>
      </c>
      <c r="L65" s="95">
        <v>0.220833333333333</v>
      </c>
      <c r="M65" s="96">
        <v>370</v>
      </c>
      <c r="N65" s="96">
        <v>2098</v>
      </c>
      <c r="O65" s="97" t="s">
        <v>524</v>
      </c>
      <c r="P65" s="83" t="s">
        <v>51</v>
      </c>
      <c r="Q65" s="131" t="s">
        <v>572</v>
      </c>
    </row>
    <row r="66" spans="1:17">
      <c r="A66" s="131" t="s">
        <v>42</v>
      </c>
      <c r="B66" s="82" t="s">
        <v>49</v>
      </c>
      <c r="C66" s="82" t="s">
        <v>569</v>
      </c>
      <c r="D66" s="82" t="s">
        <v>575</v>
      </c>
      <c r="E66" s="83" t="s">
        <v>576</v>
      </c>
      <c r="F66" s="83" t="s">
        <v>535</v>
      </c>
      <c r="G66" s="83"/>
      <c r="H66" s="115">
        <v>0.25</v>
      </c>
      <c r="I66" s="95">
        <v>0.833333333333333</v>
      </c>
      <c r="J66" s="94">
        <v>0.583333333333333</v>
      </c>
      <c r="K66" s="94" t="s">
        <v>536</v>
      </c>
      <c r="L66" s="95">
        <v>0.913541666666667</v>
      </c>
      <c r="M66" s="96">
        <v>1724</v>
      </c>
      <c r="N66" s="96">
        <v>1724</v>
      </c>
      <c r="O66" s="97" t="s">
        <v>559</v>
      </c>
      <c r="P66" s="83" t="s">
        <v>51</v>
      </c>
      <c r="Q66" s="131" t="s">
        <v>572</v>
      </c>
    </row>
    <row r="67" spans="1:17">
      <c r="A67" s="131" t="s">
        <v>42</v>
      </c>
      <c r="B67" s="82" t="s">
        <v>49</v>
      </c>
      <c r="C67" s="82" t="s">
        <v>569</v>
      </c>
      <c r="D67" s="82" t="s">
        <v>575</v>
      </c>
      <c r="E67" s="83" t="s">
        <v>576</v>
      </c>
      <c r="F67" s="83"/>
      <c r="G67" s="83" t="s">
        <v>530</v>
      </c>
      <c r="H67" s="115">
        <v>0.875</v>
      </c>
      <c r="I67" s="95">
        <v>0.916666666666667</v>
      </c>
      <c r="J67" s="94">
        <v>0.0416666666666667</v>
      </c>
      <c r="K67" s="94" t="s">
        <v>536</v>
      </c>
      <c r="L67" s="95">
        <v>5.95238095238095e-5</v>
      </c>
      <c r="M67" s="96"/>
      <c r="N67" s="83"/>
      <c r="O67" s="97" t="s">
        <v>559</v>
      </c>
      <c r="P67" s="83" t="s">
        <v>51</v>
      </c>
      <c r="Q67" s="131" t="s">
        <v>572</v>
      </c>
    </row>
    <row r="68" spans="1:17">
      <c r="A68" s="131" t="s">
        <v>42</v>
      </c>
      <c r="B68" s="82" t="s">
        <v>60</v>
      </c>
      <c r="C68" s="82" t="s">
        <v>569</v>
      </c>
      <c r="D68" s="82" t="s">
        <v>575</v>
      </c>
      <c r="E68" s="83" t="s">
        <v>576</v>
      </c>
      <c r="F68" s="83" t="s">
        <v>535</v>
      </c>
      <c r="G68" s="83" t="s">
        <v>530</v>
      </c>
      <c r="H68" s="115">
        <v>0.208333333333333</v>
      </c>
      <c r="I68" s="95">
        <v>0.25</v>
      </c>
      <c r="J68" s="94">
        <v>0.0416666666666667</v>
      </c>
      <c r="K68" s="94" t="s">
        <v>518</v>
      </c>
      <c r="L68" s="95">
        <v>0.220833333333333</v>
      </c>
      <c r="M68" s="96">
        <v>371</v>
      </c>
      <c r="N68" s="96">
        <v>2095</v>
      </c>
      <c r="O68" s="97" t="s">
        <v>524</v>
      </c>
      <c r="P68" s="83" t="s">
        <v>51</v>
      </c>
      <c r="Q68" s="131" t="s">
        <v>572</v>
      </c>
    </row>
    <row r="69" spans="1:17">
      <c r="A69" s="131" t="s">
        <v>42</v>
      </c>
      <c r="B69" s="82" t="s">
        <v>37</v>
      </c>
      <c r="C69" s="82" t="s">
        <v>569</v>
      </c>
      <c r="D69" s="82" t="s">
        <v>577</v>
      </c>
      <c r="E69" s="83" t="s">
        <v>578</v>
      </c>
      <c r="F69" s="83" t="s">
        <v>535</v>
      </c>
      <c r="G69" s="83"/>
      <c r="H69" s="115">
        <v>0.9375</v>
      </c>
      <c r="I69" s="95">
        <v>0.979166666666667</v>
      </c>
      <c r="J69" s="94">
        <v>0.0416666666666667</v>
      </c>
      <c r="K69" s="94" t="s">
        <v>522</v>
      </c>
      <c r="L69" s="95">
        <v>0.70952380952381</v>
      </c>
      <c r="M69" s="96">
        <v>1196</v>
      </c>
      <c r="N69" s="96">
        <v>1196</v>
      </c>
      <c r="O69" s="97" t="s">
        <v>519</v>
      </c>
      <c r="P69" s="83" t="s">
        <v>520</v>
      </c>
      <c r="Q69" s="131" t="s">
        <v>572</v>
      </c>
    </row>
    <row r="70" spans="1:17">
      <c r="A70" s="131" t="s">
        <v>42</v>
      </c>
      <c r="B70" s="82" t="s">
        <v>37</v>
      </c>
      <c r="C70" s="82" t="s">
        <v>569</v>
      </c>
      <c r="D70" s="82" t="s">
        <v>577</v>
      </c>
      <c r="E70" s="83" t="s">
        <v>578</v>
      </c>
      <c r="F70" s="83"/>
      <c r="G70" s="83" t="s">
        <v>530</v>
      </c>
      <c r="H70" s="115">
        <v>0.125</v>
      </c>
      <c r="I70" s="95">
        <v>0.166666666666667</v>
      </c>
      <c r="J70" s="94">
        <v>0.0416666666666667</v>
      </c>
      <c r="K70" s="94" t="s">
        <v>522</v>
      </c>
      <c r="L70" s="95"/>
      <c r="M70" s="96"/>
      <c r="N70" s="96"/>
      <c r="O70" s="97" t="s">
        <v>519</v>
      </c>
      <c r="P70" s="83" t="s">
        <v>520</v>
      </c>
      <c r="Q70" s="131" t="s">
        <v>572</v>
      </c>
    </row>
    <row r="71" spans="1:17">
      <c r="A71" s="131" t="s">
        <v>42</v>
      </c>
      <c r="B71" s="82" t="s">
        <v>37</v>
      </c>
      <c r="C71" s="82" t="s">
        <v>569</v>
      </c>
      <c r="D71" s="82" t="s">
        <v>579</v>
      </c>
      <c r="E71" s="83" t="s">
        <v>574</v>
      </c>
      <c r="F71" s="83" t="s">
        <v>535</v>
      </c>
      <c r="G71" s="83"/>
      <c r="H71" s="115">
        <v>0.875435661508434</v>
      </c>
      <c r="I71" s="95">
        <v>0.917102328175101</v>
      </c>
      <c r="J71" s="94">
        <v>0.0416666666666667</v>
      </c>
      <c r="K71" s="94" t="s">
        <v>536</v>
      </c>
      <c r="L71" s="95">
        <v>0.664444444444445</v>
      </c>
      <c r="M71" s="96">
        <v>1196</v>
      </c>
      <c r="N71" s="96">
        <v>1196</v>
      </c>
      <c r="O71" s="97" t="s">
        <v>519</v>
      </c>
      <c r="P71" s="83" t="s">
        <v>520</v>
      </c>
      <c r="Q71" s="131" t="s">
        <v>572</v>
      </c>
    </row>
    <row r="72" spans="1:17">
      <c r="A72" s="131" t="s">
        <v>42</v>
      </c>
      <c r="B72" s="82" t="s">
        <v>37</v>
      </c>
      <c r="C72" s="82" t="s">
        <v>569</v>
      </c>
      <c r="D72" s="82" t="s">
        <v>579</v>
      </c>
      <c r="E72" s="83" t="s">
        <v>574</v>
      </c>
      <c r="F72" s="83"/>
      <c r="G72" s="83" t="s">
        <v>530</v>
      </c>
      <c r="H72" s="115">
        <v>0.09375</v>
      </c>
      <c r="I72" s="95">
        <v>0.135416666666667</v>
      </c>
      <c r="J72" s="94">
        <v>0.0416666666666667</v>
      </c>
      <c r="K72" s="94" t="s">
        <v>522</v>
      </c>
      <c r="L72" s="95"/>
      <c r="M72" s="96"/>
      <c r="N72" s="96"/>
      <c r="O72" s="97" t="s">
        <v>519</v>
      </c>
      <c r="P72" s="83" t="s">
        <v>520</v>
      </c>
      <c r="Q72" s="131" t="s">
        <v>572</v>
      </c>
    </row>
    <row r="73" spans="1:17">
      <c r="A73" s="131" t="s">
        <v>42</v>
      </c>
      <c r="B73" s="82" t="s">
        <v>554</v>
      </c>
      <c r="C73" s="82" t="s">
        <v>569</v>
      </c>
      <c r="D73" s="82" t="s">
        <v>580</v>
      </c>
      <c r="E73" s="83" t="s">
        <v>571</v>
      </c>
      <c r="F73" s="83" t="s">
        <v>535</v>
      </c>
      <c r="G73" s="83"/>
      <c r="H73" s="115">
        <v>0.0416666666666667</v>
      </c>
      <c r="I73" s="95">
        <v>0.0833333333333333</v>
      </c>
      <c r="J73" s="94">
        <v>0.0416666666666667</v>
      </c>
      <c r="K73" s="94" t="s">
        <v>522</v>
      </c>
      <c r="L73" s="95">
        <v>1.47738095238095</v>
      </c>
      <c r="M73" s="96">
        <v>2523</v>
      </c>
      <c r="N73" s="96">
        <v>2523</v>
      </c>
      <c r="O73" s="97" t="s">
        <v>557</v>
      </c>
      <c r="P73" s="83" t="s">
        <v>558</v>
      </c>
      <c r="Q73" s="131" t="s">
        <v>572</v>
      </c>
    </row>
    <row r="74" spans="1:17">
      <c r="A74" s="131" t="s">
        <v>42</v>
      </c>
      <c r="B74" s="82" t="s">
        <v>554</v>
      </c>
      <c r="C74" s="82" t="s">
        <v>569</v>
      </c>
      <c r="D74" s="82" t="s">
        <v>580</v>
      </c>
      <c r="E74" s="83" t="s">
        <v>571</v>
      </c>
      <c r="F74" s="83"/>
      <c r="G74" s="83" t="s">
        <v>530</v>
      </c>
      <c r="H74" s="115">
        <v>0.166666666666667</v>
      </c>
      <c r="I74" s="95">
        <v>0.208333333333333</v>
      </c>
      <c r="J74" s="94">
        <v>0.0833333333333333</v>
      </c>
      <c r="K74" s="94" t="s">
        <v>518</v>
      </c>
      <c r="L74" s="95"/>
      <c r="M74" s="96"/>
      <c r="N74" s="83"/>
      <c r="O74" s="97" t="s">
        <v>557</v>
      </c>
      <c r="P74" s="83" t="s">
        <v>558</v>
      </c>
      <c r="Q74" s="131" t="s">
        <v>572</v>
      </c>
    </row>
    <row r="75" spans="1:17">
      <c r="A75" s="131" t="s">
        <v>42</v>
      </c>
      <c r="B75" s="82" t="s">
        <v>554</v>
      </c>
      <c r="C75" s="82" t="s">
        <v>569</v>
      </c>
      <c r="D75" s="82" t="s">
        <v>581</v>
      </c>
      <c r="E75" s="83" t="s">
        <v>576</v>
      </c>
      <c r="F75" s="83" t="s">
        <v>535</v>
      </c>
      <c r="G75" s="83"/>
      <c r="H75" s="115">
        <v>0.0416666666666667</v>
      </c>
      <c r="I75" s="95">
        <v>0.0833333333333333</v>
      </c>
      <c r="J75" s="94">
        <v>0.0416666666666667</v>
      </c>
      <c r="K75" s="94" t="s">
        <v>522</v>
      </c>
      <c r="L75" s="95">
        <v>1.47738095238095</v>
      </c>
      <c r="M75" s="96">
        <v>2523</v>
      </c>
      <c r="N75" s="96">
        <v>2523</v>
      </c>
      <c r="O75" s="97" t="s">
        <v>557</v>
      </c>
      <c r="P75" s="83" t="s">
        <v>558</v>
      </c>
      <c r="Q75" s="131" t="s">
        <v>572</v>
      </c>
    </row>
    <row r="76" spans="1:17">
      <c r="A76" s="131" t="s">
        <v>42</v>
      </c>
      <c r="B76" s="82" t="s">
        <v>554</v>
      </c>
      <c r="C76" s="82" t="s">
        <v>569</v>
      </c>
      <c r="D76" s="82" t="s">
        <v>581</v>
      </c>
      <c r="E76" s="83" t="s">
        <v>576</v>
      </c>
      <c r="F76" s="83"/>
      <c r="G76" s="83" t="s">
        <v>530</v>
      </c>
      <c r="H76" s="115">
        <v>0.333333333333333</v>
      </c>
      <c r="I76" s="95">
        <v>0.375</v>
      </c>
      <c r="J76" s="94">
        <v>0.0416666666666667</v>
      </c>
      <c r="K76" s="94" t="s">
        <v>518</v>
      </c>
      <c r="L76" s="95"/>
      <c r="M76" s="96"/>
      <c r="N76" s="96"/>
      <c r="O76" s="97" t="s">
        <v>557</v>
      </c>
      <c r="P76" s="83" t="s">
        <v>558</v>
      </c>
      <c r="Q76" s="131" t="s">
        <v>572</v>
      </c>
    </row>
    <row r="77" spans="1:17">
      <c r="A77" s="131" t="s">
        <v>42</v>
      </c>
      <c r="B77" s="82" t="s">
        <v>554</v>
      </c>
      <c r="C77" s="82" t="s">
        <v>569</v>
      </c>
      <c r="D77" s="82" t="s">
        <v>582</v>
      </c>
      <c r="E77" s="83" t="s">
        <v>574</v>
      </c>
      <c r="F77" s="83" t="s">
        <v>535</v>
      </c>
      <c r="G77" s="83"/>
      <c r="H77" s="115">
        <v>0.0416666666666667</v>
      </c>
      <c r="I77" s="95">
        <v>0.0833333333333333</v>
      </c>
      <c r="J77" s="94">
        <v>0.0416666666666667</v>
      </c>
      <c r="K77" s="94" t="s">
        <v>522</v>
      </c>
      <c r="L77" s="95">
        <v>1.47738095238095</v>
      </c>
      <c r="M77" s="96">
        <v>2523</v>
      </c>
      <c r="N77" s="96">
        <v>2523</v>
      </c>
      <c r="O77" s="97" t="s">
        <v>557</v>
      </c>
      <c r="P77" s="83" t="s">
        <v>558</v>
      </c>
      <c r="Q77" s="131" t="s">
        <v>572</v>
      </c>
    </row>
    <row r="78" spans="1:17">
      <c r="A78" s="131" t="s">
        <v>42</v>
      </c>
      <c r="B78" s="82" t="s">
        <v>554</v>
      </c>
      <c r="C78" s="82" t="s">
        <v>569</v>
      </c>
      <c r="D78" s="82" t="s">
        <v>582</v>
      </c>
      <c r="E78" s="83" t="s">
        <v>574</v>
      </c>
      <c r="F78" s="83"/>
      <c r="G78" s="83" t="s">
        <v>530</v>
      </c>
      <c r="H78" s="115">
        <v>0.166666666666667</v>
      </c>
      <c r="I78" s="95">
        <v>0.208333333333333</v>
      </c>
      <c r="J78" s="94">
        <v>0.0416666666666667</v>
      </c>
      <c r="K78" s="94" t="s">
        <v>518</v>
      </c>
      <c r="L78" s="95"/>
      <c r="M78" s="96"/>
      <c r="N78" s="83"/>
      <c r="O78" s="97" t="s">
        <v>557</v>
      </c>
      <c r="P78" s="83" t="s">
        <v>558</v>
      </c>
      <c r="Q78" s="131" t="s">
        <v>572</v>
      </c>
    </row>
    <row r="79" spans="1:17">
      <c r="A79" s="131" t="s">
        <v>42</v>
      </c>
      <c r="B79" s="82" t="s">
        <v>82</v>
      </c>
      <c r="C79" s="82" t="s">
        <v>569</v>
      </c>
      <c r="D79" s="82" t="s">
        <v>583</v>
      </c>
      <c r="E79" s="83" t="s">
        <v>571</v>
      </c>
      <c r="F79" s="83" t="s">
        <v>535</v>
      </c>
      <c r="G79" s="83" t="s">
        <v>530</v>
      </c>
      <c r="H79" s="115">
        <v>0.208333333333333</v>
      </c>
      <c r="I79" s="95">
        <v>0.291666666666667</v>
      </c>
      <c r="J79" s="94">
        <v>0.0833333333333333</v>
      </c>
      <c r="K79" s="94" t="s">
        <v>518</v>
      </c>
      <c r="L79" s="95">
        <v>0.960119047619048</v>
      </c>
      <c r="M79" s="96">
        <v>1613</v>
      </c>
      <c r="N79" s="96">
        <v>1613</v>
      </c>
      <c r="O79" s="97" t="s">
        <v>584</v>
      </c>
      <c r="P79" s="83" t="s">
        <v>585</v>
      </c>
      <c r="Q79" s="131" t="s">
        <v>572</v>
      </c>
    </row>
    <row r="80" spans="1:17">
      <c r="A80" s="131" t="s">
        <v>42</v>
      </c>
      <c r="B80" s="82" t="s">
        <v>37</v>
      </c>
      <c r="C80" s="82" t="s">
        <v>569</v>
      </c>
      <c r="D80" s="82" t="s">
        <v>583</v>
      </c>
      <c r="E80" s="83" t="s">
        <v>571</v>
      </c>
      <c r="F80" s="83" t="s">
        <v>535</v>
      </c>
      <c r="G80" s="83" t="s">
        <v>530</v>
      </c>
      <c r="H80" s="115">
        <v>0.625</v>
      </c>
      <c r="I80" s="95">
        <v>0.666666666666667</v>
      </c>
      <c r="J80" s="94">
        <v>0.0416666666666667</v>
      </c>
      <c r="K80" s="94" t="s">
        <v>536</v>
      </c>
      <c r="L80" s="95">
        <v>0.258333333333333</v>
      </c>
      <c r="M80" s="96">
        <v>434</v>
      </c>
      <c r="N80" s="96">
        <v>2047</v>
      </c>
      <c r="O80" s="97" t="s">
        <v>519</v>
      </c>
      <c r="P80" s="83" t="s">
        <v>520</v>
      </c>
      <c r="Q80" s="131" t="s">
        <v>572</v>
      </c>
    </row>
    <row r="81" spans="1:17">
      <c r="A81" s="131" t="s">
        <v>42</v>
      </c>
      <c r="B81" s="82" t="s">
        <v>82</v>
      </c>
      <c r="C81" s="82" t="s">
        <v>569</v>
      </c>
      <c r="D81" s="82" t="s">
        <v>586</v>
      </c>
      <c r="E81" s="83" t="s">
        <v>574</v>
      </c>
      <c r="F81" s="83" t="s">
        <v>535</v>
      </c>
      <c r="G81" s="83" t="s">
        <v>530</v>
      </c>
      <c r="H81" s="115">
        <v>0.208333333333333</v>
      </c>
      <c r="I81" s="95">
        <v>0.291666666666667</v>
      </c>
      <c r="J81" s="94">
        <v>0.0833333333333333</v>
      </c>
      <c r="K81" s="94" t="s">
        <v>518</v>
      </c>
      <c r="L81" s="95">
        <v>0.960119047619048</v>
      </c>
      <c r="M81" s="96">
        <v>1613</v>
      </c>
      <c r="N81" s="96">
        <v>1613</v>
      </c>
      <c r="O81" s="97" t="s">
        <v>584</v>
      </c>
      <c r="P81" s="83" t="s">
        <v>585</v>
      </c>
      <c r="Q81" s="131" t="s">
        <v>572</v>
      </c>
    </row>
    <row r="82" spans="1:17">
      <c r="A82" s="131" t="s">
        <v>42</v>
      </c>
      <c r="B82" s="82" t="s">
        <v>37</v>
      </c>
      <c r="C82" s="82" t="s">
        <v>569</v>
      </c>
      <c r="D82" s="82" t="s">
        <v>586</v>
      </c>
      <c r="E82" s="83" t="s">
        <v>574</v>
      </c>
      <c r="F82" s="83" t="s">
        <v>535</v>
      </c>
      <c r="G82" s="83" t="s">
        <v>530</v>
      </c>
      <c r="H82" s="115">
        <v>0.625</v>
      </c>
      <c r="I82" s="95">
        <v>0.666666666666667</v>
      </c>
      <c r="J82" s="94">
        <v>0.0416666666666667</v>
      </c>
      <c r="K82" s="94" t="s">
        <v>536</v>
      </c>
      <c r="L82" s="95">
        <v>0.258333333333333</v>
      </c>
      <c r="M82" s="96">
        <v>434</v>
      </c>
      <c r="N82" s="96">
        <v>2047</v>
      </c>
      <c r="O82" s="97" t="s">
        <v>519</v>
      </c>
      <c r="P82" s="83" t="s">
        <v>520</v>
      </c>
      <c r="Q82" s="131" t="s">
        <v>572</v>
      </c>
    </row>
  </sheetData>
  <autoFilter ref="A21:Q82">
    <extLst/>
  </autoFilter>
  <mergeCells count="5">
    <mergeCell ref="A1:F1"/>
    <mergeCell ref="K1:O1"/>
    <mergeCell ref="K8:M8"/>
    <mergeCell ref="A11:J11"/>
    <mergeCell ref="A20:Q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39"/>
  <sheetViews>
    <sheetView workbookViewId="0">
      <selection activeCell="M3" sqref="M3:M11"/>
    </sheetView>
  </sheetViews>
  <sheetFormatPr defaultColWidth="9.14285714285714" defaultRowHeight="15"/>
  <cols>
    <col min="1" max="1" width="11.1428571428571" customWidth="1"/>
    <col min="3" max="3" width="28.5714285714286" customWidth="1"/>
    <col min="5" max="5" width="12.4285714285714" customWidth="1"/>
    <col min="6" max="6" width="11.5714285714286" customWidth="1"/>
    <col min="7" max="7" width="11.4285714285714" customWidth="1"/>
    <col min="8" max="8" width="14.1428571428571" customWidth="1"/>
    <col min="9" max="9" width="14" customWidth="1"/>
    <col min="10" max="10" width="21.2857142857143" customWidth="1"/>
    <col min="11" max="11" width="21.4285714285714" customWidth="1"/>
    <col min="12" max="12" width="14.2857142857143" customWidth="1"/>
    <col min="13" max="13" width="14" customWidth="1"/>
    <col min="17" max="17" width="12.4285714285714" customWidth="1"/>
  </cols>
  <sheetData>
    <row r="1" ht="21.75" spans="1:13">
      <c r="A1" s="116" t="s">
        <v>479</v>
      </c>
      <c r="B1" s="116"/>
      <c r="C1" s="116"/>
      <c r="D1" s="116"/>
      <c r="E1" s="116"/>
      <c r="F1" s="116"/>
      <c r="G1" s="116"/>
      <c r="H1" s="116"/>
      <c r="J1" s="86" t="s">
        <v>587</v>
      </c>
      <c r="K1" s="86"/>
      <c r="L1" s="86"/>
      <c r="M1" s="86"/>
    </row>
    <row r="2" ht="75" spans="1:13">
      <c r="A2" s="59" t="s">
        <v>6</v>
      </c>
      <c r="B2" s="60" t="s">
        <v>0</v>
      </c>
      <c r="C2" s="60" t="s">
        <v>1</v>
      </c>
      <c r="D2" s="29" t="s">
        <v>481</v>
      </c>
      <c r="E2" s="30" t="s">
        <v>482</v>
      </c>
      <c r="F2" s="28" t="s">
        <v>483</v>
      </c>
      <c r="G2" s="29" t="s">
        <v>484</v>
      </c>
      <c r="H2" s="30" t="s">
        <v>485</v>
      </c>
      <c r="J2" s="28" t="s">
        <v>486</v>
      </c>
      <c r="K2" s="29" t="s">
        <v>487</v>
      </c>
      <c r="L2" s="30" t="s">
        <v>488</v>
      </c>
      <c r="M2" s="106" t="s">
        <v>489</v>
      </c>
    </row>
    <row r="3" spans="1:13">
      <c r="A3" s="61" t="s">
        <v>588</v>
      </c>
      <c r="B3" s="62" t="s">
        <v>243</v>
      </c>
      <c r="C3" s="62" t="s">
        <v>244</v>
      </c>
      <c r="D3" s="1">
        <v>60</v>
      </c>
      <c r="E3" s="33">
        <v>44</v>
      </c>
      <c r="F3" s="10">
        <v>20</v>
      </c>
      <c r="G3" s="1">
        <v>12</v>
      </c>
      <c r="H3" s="33">
        <v>12</v>
      </c>
      <c r="J3" s="53">
        <v>14</v>
      </c>
      <c r="K3" s="1">
        <v>12</v>
      </c>
      <c r="L3" s="33">
        <v>16</v>
      </c>
      <c r="M3" s="109">
        <v>16</v>
      </c>
    </row>
    <row r="4" spans="1:13">
      <c r="A4" s="61" t="s">
        <v>588</v>
      </c>
      <c r="B4" s="62" t="s">
        <v>257</v>
      </c>
      <c r="C4" s="62" t="s">
        <v>258</v>
      </c>
      <c r="D4" s="1">
        <v>24</v>
      </c>
      <c r="E4" s="33">
        <v>18</v>
      </c>
      <c r="F4" s="10">
        <v>0</v>
      </c>
      <c r="G4" s="1">
        <v>11</v>
      </c>
      <c r="H4" s="33">
        <v>7</v>
      </c>
      <c r="J4" s="53">
        <v>6</v>
      </c>
      <c r="K4" s="1">
        <v>6</v>
      </c>
      <c r="L4" s="33">
        <v>4</v>
      </c>
      <c r="M4" s="109">
        <v>8</v>
      </c>
    </row>
    <row r="5" spans="1:13">
      <c r="A5" s="61" t="s">
        <v>588</v>
      </c>
      <c r="B5" s="62" t="s">
        <v>268</v>
      </c>
      <c r="C5" s="62" t="s">
        <v>269</v>
      </c>
      <c r="D5" s="1">
        <v>20</v>
      </c>
      <c r="E5" s="33">
        <v>16</v>
      </c>
      <c r="F5" s="10">
        <v>8</v>
      </c>
      <c r="G5" s="1">
        <v>4</v>
      </c>
      <c r="H5" s="33">
        <v>4</v>
      </c>
      <c r="J5" s="53">
        <v>5</v>
      </c>
      <c r="K5" s="1">
        <v>6</v>
      </c>
      <c r="L5" s="33">
        <v>3</v>
      </c>
      <c r="M5" s="109">
        <v>7</v>
      </c>
    </row>
    <row r="6" spans="1:13">
      <c r="A6" s="61" t="s">
        <v>588</v>
      </c>
      <c r="B6" s="62" t="s">
        <v>281</v>
      </c>
      <c r="C6" s="62" t="s">
        <v>282</v>
      </c>
      <c r="D6" s="1">
        <v>10</v>
      </c>
      <c r="E6" s="33">
        <v>6</v>
      </c>
      <c r="F6" s="10">
        <v>4</v>
      </c>
      <c r="G6" s="1">
        <v>0</v>
      </c>
      <c r="H6" s="33">
        <v>2</v>
      </c>
      <c r="J6" s="53">
        <v>4</v>
      </c>
      <c r="K6" s="1">
        <v>2</v>
      </c>
      <c r="L6" s="33">
        <v>0</v>
      </c>
      <c r="M6" s="109">
        <v>4</v>
      </c>
    </row>
    <row r="7" spans="1:13">
      <c r="A7" s="61" t="s">
        <v>588</v>
      </c>
      <c r="B7" s="62" t="s">
        <v>292</v>
      </c>
      <c r="C7" s="62" t="s">
        <v>293</v>
      </c>
      <c r="D7" s="1">
        <v>21</v>
      </c>
      <c r="E7" s="33">
        <v>17</v>
      </c>
      <c r="F7" s="10">
        <v>10</v>
      </c>
      <c r="G7" s="1">
        <v>4</v>
      </c>
      <c r="H7" s="33">
        <v>3</v>
      </c>
      <c r="J7" s="53">
        <v>3</v>
      </c>
      <c r="K7" s="1">
        <v>6</v>
      </c>
      <c r="L7" s="33">
        <v>6</v>
      </c>
      <c r="M7" s="109">
        <v>5</v>
      </c>
    </row>
    <row r="8" spans="1:13">
      <c r="A8" s="61" t="s">
        <v>588</v>
      </c>
      <c r="B8" s="62" t="s">
        <v>303</v>
      </c>
      <c r="C8" s="62" t="s">
        <v>304</v>
      </c>
      <c r="D8" s="1">
        <v>25</v>
      </c>
      <c r="E8" s="33">
        <v>21</v>
      </c>
      <c r="F8" s="10">
        <v>4</v>
      </c>
      <c r="G8" s="1">
        <v>8</v>
      </c>
      <c r="H8" s="33">
        <v>9</v>
      </c>
      <c r="J8" s="53">
        <v>6</v>
      </c>
      <c r="K8" s="1">
        <v>6</v>
      </c>
      <c r="L8" s="33">
        <v>7</v>
      </c>
      <c r="M8" s="109">
        <v>8</v>
      </c>
    </row>
    <row r="9" spans="1:13">
      <c r="A9" s="61" t="s">
        <v>588</v>
      </c>
      <c r="B9" s="62" t="s">
        <v>315</v>
      </c>
      <c r="C9" s="62" t="s">
        <v>316</v>
      </c>
      <c r="D9" s="1">
        <v>37</v>
      </c>
      <c r="E9" s="33">
        <v>33</v>
      </c>
      <c r="F9" s="10">
        <v>5</v>
      </c>
      <c r="G9" s="1">
        <v>13</v>
      </c>
      <c r="H9" s="33">
        <v>15</v>
      </c>
      <c r="J9" s="53">
        <v>11</v>
      </c>
      <c r="K9" s="1">
        <v>12</v>
      </c>
      <c r="L9" s="33">
        <v>8</v>
      </c>
      <c r="M9" s="109">
        <v>13</v>
      </c>
    </row>
    <row r="10" spans="1:13">
      <c r="A10" s="61" t="s">
        <v>588</v>
      </c>
      <c r="B10" s="62" t="s">
        <v>327</v>
      </c>
      <c r="C10" s="62" t="s">
        <v>328</v>
      </c>
      <c r="D10" s="1">
        <v>26</v>
      </c>
      <c r="E10" s="33">
        <v>21</v>
      </c>
      <c r="F10" s="10">
        <v>9</v>
      </c>
      <c r="G10" s="1">
        <v>8</v>
      </c>
      <c r="H10" s="33">
        <v>4</v>
      </c>
      <c r="J10" s="53">
        <v>7</v>
      </c>
      <c r="K10" s="1">
        <v>6</v>
      </c>
      <c r="L10" s="33">
        <v>6</v>
      </c>
      <c r="M10" s="109">
        <v>9</v>
      </c>
    </row>
    <row r="11" spans="1:13">
      <c r="A11" s="64" t="s">
        <v>588</v>
      </c>
      <c r="B11" s="65" t="s">
        <v>339</v>
      </c>
      <c r="C11" s="65" t="s">
        <v>340</v>
      </c>
      <c r="D11" s="16">
        <v>41</v>
      </c>
      <c r="E11" s="37">
        <v>36</v>
      </c>
      <c r="F11" s="15">
        <v>22</v>
      </c>
      <c r="G11" s="16">
        <v>6</v>
      </c>
      <c r="H11" s="37">
        <v>8</v>
      </c>
      <c r="J11" s="53">
        <v>10</v>
      </c>
      <c r="K11" s="16">
        <v>12</v>
      </c>
      <c r="L11" s="33">
        <v>12</v>
      </c>
      <c r="M11" s="110">
        <v>12</v>
      </c>
    </row>
    <row r="12" spans="10:12">
      <c r="J12" s="111" t="s">
        <v>490</v>
      </c>
      <c r="K12" s="112"/>
      <c r="L12" s="52">
        <v>62</v>
      </c>
    </row>
    <row r="13" ht="15.75"/>
    <row r="14" ht="21.75" spans="1:10">
      <c r="A14" s="25" t="s">
        <v>491</v>
      </c>
      <c r="B14" s="26"/>
      <c r="C14" s="26"/>
      <c r="D14" s="26"/>
      <c r="E14" s="26"/>
      <c r="F14" s="26"/>
      <c r="G14" s="26"/>
      <c r="H14" s="26"/>
      <c r="I14" s="26"/>
      <c r="J14" s="27"/>
    </row>
    <row r="15" ht="60" spans="1:10">
      <c r="A15" s="59" t="s">
        <v>6</v>
      </c>
      <c r="B15" s="60" t="s">
        <v>0</v>
      </c>
      <c r="C15" s="60" t="s">
        <v>1</v>
      </c>
      <c r="D15" s="60" t="s">
        <v>492</v>
      </c>
      <c r="E15" s="60" t="s">
        <v>493</v>
      </c>
      <c r="F15" s="60" t="s">
        <v>494</v>
      </c>
      <c r="G15" s="60" t="s">
        <v>495</v>
      </c>
      <c r="H15" s="28" t="s">
        <v>496</v>
      </c>
      <c r="I15" s="29" t="s">
        <v>497</v>
      </c>
      <c r="J15" s="30" t="s">
        <v>498</v>
      </c>
    </row>
    <row r="16" spans="1:10">
      <c r="A16" s="61" t="s">
        <v>588</v>
      </c>
      <c r="B16" s="62" t="s">
        <v>243</v>
      </c>
      <c r="C16" s="62" t="s">
        <v>244</v>
      </c>
      <c r="D16" s="68">
        <v>28379</v>
      </c>
      <c r="E16" s="69">
        <v>19865.3</v>
      </c>
      <c r="F16" s="69">
        <v>8513.7</v>
      </c>
      <c r="G16" s="70">
        <v>65097</v>
      </c>
      <c r="H16" s="117">
        <v>902.968181818182</v>
      </c>
      <c r="I16" s="69">
        <v>386.986363636364</v>
      </c>
      <c r="J16" s="91">
        <v>2958.95454545455</v>
      </c>
    </row>
    <row r="17" spans="1:10">
      <c r="A17" s="61" t="s">
        <v>588</v>
      </c>
      <c r="B17" s="62" t="s">
        <v>257</v>
      </c>
      <c r="C17" s="62" t="s">
        <v>258</v>
      </c>
      <c r="D17" s="68">
        <v>8716</v>
      </c>
      <c r="E17" s="69">
        <v>6101.2</v>
      </c>
      <c r="F17" s="69">
        <v>2614.8</v>
      </c>
      <c r="G17" s="70">
        <v>25751</v>
      </c>
      <c r="H17" s="117">
        <v>277.327272727273</v>
      </c>
      <c r="I17" s="69">
        <v>118.854545454545</v>
      </c>
      <c r="J17" s="91">
        <v>1170.5</v>
      </c>
    </row>
    <row r="18" spans="1:10">
      <c r="A18" s="61" t="s">
        <v>588</v>
      </c>
      <c r="B18" s="62" t="s">
        <v>268</v>
      </c>
      <c r="C18" s="62" t="s">
        <v>269</v>
      </c>
      <c r="D18" s="68">
        <v>8240</v>
      </c>
      <c r="E18" s="69">
        <v>5768</v>
      </c>
      <c r="F18" s="69">
        <v>2472</v>
      </c>
      <c r="G18" s="70">
        <v>21916</v>
      </c>
      <c r="H18" s="117">
        <v>262.181818181818</v>
      </c>
      <c r="I18" s="69">
        <v>112.363636363636</v>
      </c>
      <c r="J18" s="91">
        <v>996.181818181818</v>
      </c>
    </row>
    <row r="19" spans="1:10">
      <c r="A19" s="61" t="s">
        <v>588</v>
      </c>
      <c r="B19" s="62" t="s">
        <v>281</v>
      </c>
      <c r="C19" s="62" t="s">
        <v>282</v>
      </c>
      <c r="D19" s="68">
        <v>1459</v>
      </c>
      <c r="E19" s="69">
        <v>1021.3</v>
      </c>
      <c r="F19" s="69">
        <v>437.7</v>
      </c>
      <c r="G19" s="70">
        <v>16315</v>
      </c>
      <c r="H19" s="118">
        <v>46</v>
      </c>
      <c r="I19" s="71">
        <v>20</v>
      </c>
      <c r="J19" s="91">
        <v>741.590909090909</v>
      </c>
    </row>
    <row r="20" spans="1:10">
      <c r="A20" s="61" t="s">
        <v>588</v>
      </c>
      <c r="B20" s="62" t="s">
        <v>292</v>
      </c>
      <c r="C20" s="62" t="s">
        <v>293</v>
      </c>
      <c r="D20" s="68">
        <v>4629</v>
      </c>
      <c r="E20" s="69">
        <v>3240.3</v>
      </c>
      <c r="F20" s="69">
        <v>1388.7</v>
      </c>
      <c r="G20" s="70">
        <v>13351</v>
      </c>
      <c r="H20" s="117">
        <v>147.286363636364</v>
      </c>
      <c r="I20" s="71">
        <v>63</v>
      </c>
      <c r="J20" s="91">
        <v>606.863636363636</v>
      </c>
    </row>
    <row r="21" spans="1:10">
      <c r="A21" s="61" t="s">
        <v>588</v>
      </c>
      <c r="B21" s="62" t="s">
        <v>303</v>
      </c>
      <c r="C21" s="62" t="s">
        <v>304</v>
      </c>
      <c r="D21" s="68">
        <v>10754</v>
      </c>
      <c r="E21" s="69">
        <v>7527.8</v>
      </c>
      <c r="F21" s="69">
        <v>3226.2</v>
      </c>
      <c r="G21" s="70">
        <v>23711</v>
      </c>
      <c r="H21" s="117">
        <v>342.172727272727</v>
      </c>
      <c r="I21" s="69">
        <v>146.645454545455</v>
      </c>
      <c r="J21" s="91">
        <v>1077.77272727273</v>
      </c>
    </row>
    <row r="22" spans="1:10">
      <c r="A22" s="61" t="s">
        <v>588</v>
      </c>
      <c r="B22" s="62" t="s">
        <v>315</v>
      </c>
      <c r="C22" s="62" t="s">
        <v>316</v>
      </c>
      <c r="D22" s="68">
        <v>58015</v>
      </c>
      <c r="E22" s="69">
        <v>40610.5</v>
      </c>
      <c r="F22" s="69">
        <v>17404.5</v>
      </c>
      <c r="G22" s="70">
        <v>37406</v>
      </c>
      <c r="H22" s="117">
        <v>1845.93181818182</v>
      </c>
      <c r="I22" s="69">
        <v>791.113636363636</v>
      </c>
      <c r="J22" s="91">
        <v>1700.27272727273</v>
      </c>
    </row>
    <row r="23" spans="1:10">
      <c r="A23" s="61" t="s">
        <v>588</v>
      </c>
      <c r="B23" s="62" t="s">
        <v>327</v>
      </c>
      <c r="C23" s="62" t="s">
        <v>328</v>
      </c>
      <c r="D23" s="68">
        <v>7088</v>
      </c>
      <c r="E23" s="69">
        <v>4961.6</v>
      </c>
      <c r="F23" s="69">
        <v>2126.4</v>
      </c>
      <c r="G23" s="70">
        <v>31756</v>
      </c>
      <c r="H23" s="117">
        <v>225.527272727273</v>
      </c>
      <c r="I23" s="71">
        <v>97</v>
      </c>
      <c r="J23" s="91">
        <v>1443.45454545455</v>
      </c>
    </row>
    <row r="24" ht="15.75" spans="1:10">
      <c r="A24" s="64" t="s">
        <v>588</v>
      </c>
      <c r="B24" s="65" t="s">
        <v>339</v>
      </c>
      <c r="C24" s="65" t="s">
        <v>340</v>
      </c>
      <c r="D24" s="72">
        <v>17816</v>
      </c>
      <c r="E24" s="73">
        <v>12471.2</v>
      </c>
      <c r="F24" s="73">
        <v>5344.8</v>
      </c>
      <c r="G24" s="74">
        <v>42770</v>
      </c>
      <c r="H24" s="119">
        <v>566.872727272727</v>
      </c>
      <c r="I24" s="73">
        <v>242.945454545455</v>
      </c>
      <c r="J24" s="92">
        <v>1944.09090909091</v>
      </c>
    </row>
    <row r="28" ht="21" spans="1:17">
      <c r="A28" s="116" t="s">
        <v>589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</row>
    <row r="29" ht="45" spans="1:17">
      <c r="A29" s="120" t="s">
        <v>6</v>
      </c>
      <c r="B29" s="120" t="s">
        <v>500</v>
      </c>
      <c r="C29" s="120" t="s">
        <v>501</v>
      </c>
      <c r="D29" s="120" t="s">
        <v>502</v>
      </c>
      <c r="E29" s="120" t="s">
        <v>503</v>
      </c>
      <c r="F29" s="120" t="s">
        <v>504</v>
      </c>
      <c r="G29" s="120" t="s">
        <v>505</v>
      </c>
      <c r="H29" s="121" t="s">
        <v>506</v>
      </c>
      <c r="I29" s="121" t="s">
        <v>507</v>
      </c>
      <c r="J29" s="121" t="s">
        <v>508</v>
      </c>
      <c r="K29" s="121" t="s">
        <v>509</v>
      </c>
      <c r="L29" s="121" t="s">
        <v>510</v>
      </c>
      <c r="M29" s="120" t="s">
        <v>511</v>
      </c>
      <c r="N29" s="120" t="s">
        <v>512</v>
      </c>
      <c r="O29" s="120" t="s">
        <v>513</v>
      </c>
      <c r="P29" s="120" t="s">
        <v>2</v>
      </c>
      <c r="Q29" s="120" t="s">
        <v>514</v>
      </c>
    </row>
    <row r="30" hidden="1" spans="1:17">
      <c r="A30" s="81" t="s">
        <v>588</v>
      </c>
      <c r="B30" s="101" t="s">
        <v>243</v>
      </c>
      <c r="C30" s="82" t="s">
        <v>555</v>
      </c>
      <c r="D30" s="82" t="s">
        <v>590</v>
      </c>
      <c r="E30" s="83" t="s">
        <v>529</v>
      </c>
      <c r="F30" s="83" t="s">
        <v>535</v>
      </c>
      <c r="G30" s="83"/>
      <c r="H30" s="84">
        <v>0.145833333333333</v>
      </c>
      <c r="I30" s="93">
        <v>0.166666666666667</v>
      </c>
      <c r="J30" s="94">
        <v>0.0208333333333333</v>
      </c>
      <c r="K30" s="94" t="s">
        <v>522</v>
      </c>
      <c r="L30" s="95">
        <v>0.142261904761905</v>
      </c>
      <c r="M30" s="96">
        <v>235</v>
      </c>
      <c r="N30" s="83">
        <v>235</v>
      </c>
      <c r="O30" s="97" t="s">
        <v>591</v>
      </c>
      <c r="P30" s="83" t="s">
        <v>245</v>
      </c>
      <c r="Q30" s="81" t="s">
        <v>592</v>
      </c>
    </row>
    <row r="31" hidden="1" spans="1:17">
      <c r="A31" s="81" t="s">
        <v>588</v>
      </c>
      <c r="B31" s="101" t="s">
        <v>243</v>
      </c>
      <c r="C31" s="82" t="s">
        <v>555</v>
      </c>
      <c r="D31" s="82" t="s">
        <v>590</v>
      </c>
      <c r="E31" s="83" t="s">
        <v>529</v>
      </c>
      <c r="F31" s="83"/>
      <c r="G31" s="83" t="s">
        <v>530</v>
      </c>
      <c r="H31" s="84">
        <v>0.166666666666667</v>
      </c>
      <c r="I31" s="93">
        <v>0.1875</v>
      </c>
      <c r="J31" s="94">
        <v>0.0208333333333333</v>
      </c>
      <c r="K31" s="94" t="s">
        <v>522</v>
      </c>
      <c r="L31" s="95">
        <v>5.95238095238095e-5</v>
      </c>
      <c r="M31" s="96"/>
      <c r="N31" s="83"/>
      <c r="O31" s="97" t="s">
        <v>591</v>
      </c>
      <c r="P31" s="83" t="s">
        <v>245</v>
      </c>
      <c r="Q31" s="81" t="s">
        <v>592</v>
      </c>
    </row>
    <row r="32" hidden="1" spans="1:17">
      <c r="A32" s="81" t="s">
        <v>588</v>
      </c>
      <c r="B32" s="101" t="s">
        <v>243</v>
      </c>
      <c r="C32" s="82" t="s">
        <v>569</v>
      </c>
      <c r="D32" s="82" t="s">
        <v>593</v>
      </c>
      <c r="E32" s="83" t="s">
        <v>578</v>
      </c>
      <c r="F32" s="83" t="s">
        <v>535</v>
      </c>
      <c r="G32" s="83"/>
      <c r="H32" s="84">
        <v>0.914897168803419</v>
      </c>
      <c r="I32" s="93">
        <v>0.928786057692308</v>
      </c>
      <c r="J32" s="94">
        <v>0.0138888888888889</v>
      </c>
      <c r="K32" s="94" t="s">
        <v>536</v>
      </c>
      <c r="L32" s="95">
        <v>0.162760416666667</v>
      </c>
      <c r="M32" s="96">
        <v>250</v>
      </c>
      <c r="N32" s="83">
        <v>1055</v>
      </c>
      <c r="O32" s="97" t="s">
        <v>591</v>
      </c>
      <c r="P32" s="83" t="s">
        <v>245</v>
      </c>
      <c r="Q32" s="81" t="s">
        <v>572</v>
      </c>
    </row>
    <row r="33" hidden="1" spans="1:17">
      <c r="A33" s="81" t="s">
        <v>588</v>
      </c>
      <c r="B33" s="101" t="s">
        <v>243</v>
      </c>
      <c r="C33" s="82" t="s">
        <v>569</v>
      </c>
      <c r="D33" s="82" t="s">
        <v>593</v>
      </c>
      <c r="E33" s="83" t="s">
        <v>578</v>
      </c>
      <c r="F33" s="83"/>
      <c r="G33" s="83" t="s">
        <v>530</v>
      </c>
      <c r="H33" s="84">
        <v>0.125</v>
      </c>
      <c r="I33" s="93">
        <v>0.166666666666667</v>
      </c>
      <c r="J33" s="94">
        <v>0.0416666666666667</v>
      </c>
      <c r="K33" s="94" t="s">
        <v>522</v>
      </c>
      <c r="L33" s="95"/>
      <c r="M33" s="96"/>
      <c r="N33" s="83"/>
      <c r="O33" s="97" t="s">
        <v>591</v>
      </c>
      <c r="P33" s="83" t="s">
        <v>245</v>
      </c>
      <c r="Q33" s="81" t="s">
        <v>572</v>
      </c>
    </row>
    <row r="34" hidden="1" spans="1:17">
      <c r="A34" s="81" t="s">
        <v>588</v>
      </c>
      <c r="B34" s="101" t="s">
        <v>243</v>
      </c>
      <c r="C34" s="82" t="s">
        <v>569</v>
      </c>
      <c r="D34" s="82" t="s">
        <v>594</v>
      </c>
      <c r="E34" s="83" t="s">
        <v>574</v>
      </c>
      <c r="F34" s="83" t="s">
        <v>535</v>
      </c>
      <c r="G34" s="83"/>
      <c r="H34" s="84">
        <v>0.916666666666667</v>
      </c>
      <c r="I34" s="93">
        <v>0.958333333333333</v>
      </c>
      <c r="J34" s="94">
        <v>0.0416666666666667</v>
      </c>
      <c r="K34" s="94" t="s">
        <v>522</v>
      </c>
      <c r="L34" s="95">
        <v>0.625595238095238</v>
      </c>
      <c r="M34" s="96">
        <v>1059</v>
      </c>
      <c r="N34" s="83">
        <v>1059</v>
      </c>
      <c r="O34" s="97" t="s">
        <v>591</v>
      </c>
      <c r="P34" s="83" t="s">
        <v>245</v>
      </c>
      <c r="Q34" s="81" t="s">
        <v>572</v>
      </c>
    </row>
    <row r="35" hidden="1" spans="1:17">
      <c r="A35" s="81" t="s">
        <v>588</v>
      </c>
      <c r="B35" s="101" t="s">
        <v>243</v>
      </c>
      <c r="C35" s="82" t="s">
        <v>569</v>
      </c>
      <c r="D35" s="82" t="s">
        <v>594</v>
      </c>
      <c r="E35" s="83" t="s">
        <v>574</v>
      </c>
      <c r="F35" s="83"/>
      <c r="G35" s="83" t="s">
        <v>530</v>
      </c>
      <c r="H35" s="84">
        <v>0.125</v>
      </c>
      <c r="I35" s="93">
        <v>0.166666666666667</v>
      </c>
      <c r="J35" s="94">
        <v>0.0416666666666667</v>
      </c>
      <c r="K35" s="94" t="s">
        <v>522</v>
      </c>
      <c r="L35" s="95"/>
      <c r="M35" s="96"/>
      <c r="N35" s="83"/>
      <c r="O35" s="97" t="s">
        <v>591</v>
      </c>
      <c r="P35" s="83" t="s">
        <v>245</v>
      </c>
      <c r="Q35" s="81" t="s">
        <v>572</v>
      </c>
    </row>
    <row r="36" hidden="1" spans="1:17">
      <c r="A36" s="81"/>
      <c r="B36" s="101"/>
      <c r="C36" s="82"/>
      <c r="D36" s="82"/>
      <c r="E36" s="83"/>
      <c r="F36" s="83"/>
      <c r="G36" s="83"/>
      <c r="H36" s="84"/>
      <c r="I36" s="93"/>
      <c r="J36" s="94"/>
      <c r="K36" s="94"/>
      <c r="L36" s="95"/>
      <c r="M36" s="96"/>
      <c r="N36" s="83"/>
      <c r="O36" s="97"/>
      <c r="P36" s="83"/>
      <c r="Q36" s="81"/>
    </row>
    <row r="37" hidden="1" spans="1:17">
      <c r="A37" s="81"/>
      <c r="B37" s="101"/>
      <c r="C37" s="82"/>
      <c r="D37" s="82"/>
      <c r="E37" s="83"/>
      <c r="F37" s="83"/>
      <c r="G37" s="83"/>
      <c r="H37" s="84"/>
      <c r="I37" s="93"/>
      <c r="J37" s="94"/>
      <c r="K37" s="94"/>
      <c r="L37" s="95"/>
      <c r="M37" s="96"/>
      <c r="N37" s="83"/>
      <c r="O37" s="97"/>
      <c r="P37" s="83"/>
      <c r="Q37" s="81"/>
    </row>
    <row r="38" hidden="1" spans="1:17">
      <c r="A38" s="81"/>
      <c r="B38" s="101"/>
      <c r="C38" s="82"/>
      <c r="D38" s="82"/>
      <c r="E38" s="83"/>
      <c r="F38" s="83"/>
      <c r="G38" s="83"/>
      <c r="H38" s="84"/>
      <c r="I38" s="93"/>
      <c r="J38" s="94"/>
      <c r="K38" s="94"/>
      <c r="L38" s="95"/>
      <c r="M38" s="96"/>
      <c r="N38" s="83"/>
      <c r="O38" s="97"/>
      <c r="P38" s="83"/>
      <c r="Q38" s="81"/>
    </row>
    <row r="39" hidden="1" spans="1:17">
      <c r="A39" s="81"/>
      <c r="B39" s="101"/>
      <c r="C39" s="82"/>
      <c r="D39" s="82"/>
      <c r="E39" s="83"/>
      <c r="F39" s="83"/>
      <c r="G39" s="83"/>
      <c r="H39" s="84"/>
      <c r="I39" s="93"/>
      <c r="J39" s="94"/>
      <c r="K39" s="94"/>
      <c r="L39" s="95"/>
      <c r="M39" s="96"/>
      <c r="N39" s="83"/>
      <c r="O39" s="97"/>
      <c r="P39" s="83"/>
      <c r="Q39" s="81"/>
    </row>
    <row r="40" hidden="1" spans="1:17">
      <c r="A40" s="81"/>
      <c r="B40" s="101"/>
      <c r="C40" s="82"/>
      <c r="D40" s="82"/>
      <c r="E40" s="83"/>
      <c r="F40" s="83"/>
      <c r="G40" s="83"/>
      <c r="H40" s="84"/>
      <c r="I40" s="93"/>
      <c r="J40" s="94"/>
      <c r="K40" s="94"/>
      <c r="L40" s="95"/>
      <c r="M40" s="96"/>
      <c r="N40" s="83"/>
      <c r="O40" s="97"/>
      <c r="P40" s="83"/>
      <c r="Q40" s="81"/>
    </row>
    <row r="41" hidden="1" spans="1:17">
      <c r="A41" s="81"/>
      <c r="B41" s="101"/>
      <c r="C41" s="82"/>
      <c r="D41" s="82"/>
      <c r="E41" s="83"/>
      <c r="F41" s="83"/>
      <c r="G41" s="83"/>
      <c r="H41" s="84"/>
      <c r="I41" s="93"/>
      <c r="J41" s="94"/>
      <c r="K41" s="94"/>
      <c r="L41" s="95"/>
      <c r="M41" s="96"/>
      <c r="N41" s="83"/>
      <c r="O41" s="97"/>
      <c r="P41" s="83"/>
      <c r="Q41" s="81"/>
    </row>
    <row r="42" hidden="1" spans="1:17">
      <c r="A42" s="81"/>
      <c r="B42" s="101"/>
      <c r="C42" s="82"/>
      <c r="D42" s="82"/>
      <c r="E42" s="83"/>
      <c r="F42" s="83"/>
      <c r="G42" s="83"/>
      <c r="H42" s="84"/>
      <c r="I42" s="93"/>
      <c r="J42" s="94"/>
      <c r="K42" s="94"/>
      <c r="L42" s="95"/>
      <c r="M42" s="96"/>
      <c r="N42" s="83"/>
      <c r="O42" s="97"/>
      <c r="P42" s="83"/>
      <c r="Q42" s="81"/>
    </row>
    <row r="43" hidden="1" spans="1:17">
      <c r="A43" s="81"/>
      <c r="B43" s="101"/>
      <c r="C43" s="82"/>
      <c r="D43" s="82"/>
      <c r="E43" s="83"/>
      <c r="F43" s="83"/>
      <c r="G43" s="83"/>
      <c r="H43" s="84"/>
      <c r="I43" s="93"/>
      <c r="J43" s="94"/>
      <c r="K43" s="94"/>
      <c r="L43" s="95"/>
      <c r="M43" s="96"/>
      <c r="N43" s="83"/>
      <c r="O43" s="97"/>
      <c r="P43" s="83"/>
      <c r="Q43" s="81"/>
    </row>
    <row r="44" hidden="1" spans="1:17">
      <c r="A44" s="81"/>
      <c r="B44" s="101"/>
      <c r="C44" s="82"/>
      <c r="D44" s="82"/>
      <c r="E44" s="83"/>
      <c r="F44" s="83"/>
      <c r="G44" s="83"/>
      <c r="H44" s="84"/>
      <c r="I44" s="93"/>
      <c r="J44" s="94"/>
      <c r="K44" s="94"/>
      <c r="L44" s="95"/>
      <c r="M44" s="96"/>
      <c r="N44" s="83"/>
      <c r="O44" s="97"/>
      <c r="P44" s="83"/>
      <c r="Q44" s="81"/>
    </row>
    <row r="45" hidden="1" spans="1:17">
      <c r="A45" s="81"/>
      <c r="B45" s="101"/>
      <c r="C45" s="82"/>
      <c r="D45" s="82"/>
      <c r="E45" s="83"/>
      <c r="F45" s="83"/>
      <c r="G45" s="83"/>
      <c r="H45" s="84"/>
      <c r="I45" s="93"/>
      <c r="J45" s="94"/>
      <c r="K45" s="94"/>
      <c r="L45" s="95"/>
      <c r="M45" s="96"/>
      <c r="N45" s="83"/>
      <c r="O45" s="97"/>
      <c r="P45" s="83"/>
      <c r="Q45" s="81"/>
    </row>
    <row r="46" hidden="1" spans="1:17">
      <c r="A46" s="81"/>
      <c r="B46" s="101"/>
      <c r="C46" s="82"/>
      <c r="D46" s="82"/>
      <c r="E46" s="83"/>
      <c r="F46" s="83"/>
      <c r="G46" s="83"/>
      <c r="H46" s="84"/>
      <c r="I46" s="93"/>
      <c r="J46" s="94"/>
      <c r="K46" s="94"/>
      <c r="L46" s="95"/>
      <c r="M46" s="96"/>
      <c r="N46" s="83"/>
      <c r="O46" s="97"/>
      <c r="P46" s="83"/>
      <c r="Q46" s="81"/>
    </row>
    <row r="47" hidden="1" spans="1:17">
      <c r="A47" s="81"/>
      <c r="B47" s="101"/>
      <c r="C47" s="82"/>
      <c r="D47" s="82"/>
      <c r="E47" s="83"/>
      <c r="F47" s="83"/>
      <c r="G47" s="83"/>
      <c r="H47" s="84"/>
      <c r="I47" s="93"/>
      <c r="J47" s="94"/>
      <c r="K47" s="94"/>
      <c r="L47" s="95"/>
      <c r="M47" s="96"/>
      <c r="N47" s="83"/>
      <c r="O47" s="97"/>
      <c r="P47" s="83"/>
      <c r="Q47" s="81"/>
    </row>
    <row r="48" hidden="1" spans="1:17">
      <c r="A48" s="81"/>
      <c r="B48" s="101"/>
      <c r="C48" s="82"/>
      <c r="D48" s="82"/>
      <c r="E48" s="83"/>
      <c r="F48" s="83"/>
      <c r="G48" s="83"/>
      <c r="H48" s="84"/>
      <c r="I48" s="93"/>
      <c r="J48" s="94"/>
      <c r="K48" s="94"/>
      <c r="L48" s="95"/>
      <c r="M48" s="96"/>
      <c r="N48" s="83"/>
      <c r="O48" s="97"/>
      <c r="P48" s="83"/>
      <c r="Q48" s="81"/>
    </row>
    <row r="49" hidden="1" spans="1:17">
      <c r="A49" s="81"/>
      <c r="B49" s="101"/>
      <c r="C49" s="82"/>
      <c r="D49" s="82"/>
      <c r="E49" s="83"/>
      <c r="F49" s="83"/>
      <c r="G49" s="83"/>
      <c r="H49" s="84"/>
      <c r="I49" s="93"/>
      <c r="J49" s="94"/>
      <c r="K49" s="94"/>
      <c r="L49" s="95"/>
      <c r="M49" s="96"/>
      <c r="N49" s="83"/>
      <c r="O49" s="97"/>
      <c r="P49" s="83"/>
      <c r="Q49" s="81"/>
    </row>
    <row r="50" hidden="1" spans="1:17">
      <c r="A50" s="81"/>
      <c r="B50" s="101"/>
      <c r="C50" s="82"/>
      <c r="D50" s="82"/>
      <c r="E50" s="83"/>
      <c r="F50" s="83"/>
      <c r="G50" s="83"/>
      <c r="H50" s="84"/>
      <c r="I50" s="93"/>
      <c r="J50" s="94"/>
      <c r="K50" s="94"/>
      <c r="L50" s="95"/>
      <c r="M50" s="96"/>
      <c r="N50" s="83"/>
      <c r="O50" s="97"/>
      <c r="P50" s="83"/>
      <c r="Q50" s="81"/>
    </row>
    <row r="51" hidden="1" spans="1:17">
      <c r="A51" s="81"/>
      <c r="B51" s="101"/>
      <c r="C51" s="82"/>
      <c r="D51" s="82"/>
      <c r="E51" s="83"/>
      <c r="F51" s="83"/>
      <c r="G51" s="83"/>
      <c r="H51" s="84"/>
      <c r="I51" s="93"/>
      <c r="J51" s="94"/>
      <c r="K51" s="94"/>
      <c r="L51" s="95"/>
      <c r="M51" s="96"/>
      <c r="N51" s="83"/>
      <c r="O51" s="97"/>
      <c r="P51" s="83"/>
      <c r="Q51" s="81"/>
    </row>
    <row r="52" hidden="1" spans="1:17">
      <c r="A52" s="81"/>
      <c r="B52" s="101"/>
      <c r="C52" s="82"/>
      <c r="D52" s="82"/>
      <c r="E52" s="83"/>
      <c r="F52" s="83"/>
      <c r="G52" s="83"/>
      <c r="H52" s="84"/>
      <c r="I52" s="93"/>
      <c r="J52" s="94"/>
      <c r="K52" s="94"/>
      <c r="L52" s="95"/>
      <c r="M52" s="96"/>
      <c r="N52" s="83"/>
      <c r="O52" s="97"/>
      <c r="P52" s="83"/>
      <c r="Q52" s="81"/>
    </row>
    <row r="53" hidden="1" spans="1:17">
      <c r="A53" s="81"/>
      <c r="B53" s="101"/>
      <c r="C53" s="82"/>
      <c r="D53" s="82"/>
      <c r="E53" s="83"/>
      <c r="F53" s="83"/>
      <c r="G53" s="83"/>
      <c r="H53" s="84"/>
      <c r="I53" s="93"/>
      <c r="J53" s="94"/>
      <c r="K53" s="94"/>
      <c r="L53" s="95"/>
      <c r="M53" s="96"/>
      <c r="N53" s="83"/>
      <c r="O53" s="97"/>
      <c r="P53" s="83"/>
      <c r="Q53" s="81"/>
    </row>
    <row r="54" hidden="1" spans="1:17">
      <c r="A54" s="81"/>
      <c r="B54" s="101"/>
      <c r="C54" s="82"/>
      <c r="D54" s="82"/>
      <c r="E54" s="83"/>
      <c r="F54" s="83"/>
      <c r="G54" s="83"/>
      <c r="H54" s="84"/>
      <c r="I54" s="93"/>
      <c r="J54" s="94"/>
      <c r="K54" s="94"/>
      <c r="L54" s="95"/>
      <c r="M54" s="96"/>
      <c r="N54" s="83"/>
      <c r="O54" s="97"/>
      <c r="P54" s="83"/>
      <c r="Q54" s="81"/>
    </row>
    <row r="55" hidden="1" spans="1:17">
      <c r="A55" s="81"/>
      <c r="B55" s="101"/>
      <c r="C55" s="82"/>
      <c r="D55" s="82"/>
      <c r="E55" s="83"/>
      <c r="F55" s="83"/>
      <c r="G55" s="83"/>
      <c r="H55" s="84"/>
      <c r="I55" s="93"/>
      <c r="J55" s="94"/>
      <c r="K55" s="94"/>
      <c r="L55" s="95"/>
      <c r="M55" s="96"/>
      <c r="N55" s="83"/>
      <c r="O55" s="97"/>
      <c r="P55" s="83"/>
      <c r="Q55" s="81"/>
    </row>
    <row r="56" hidden="1" spans="1:17">
      <c r="A56" s="81"/>
      <c r="B56" s="101"/>
      <c r="C56" s="82"/>
      <c r="D56" s="82"/>
      <c r="E56" s="83"/>
      <c r="F56" s="83"/>
      <c r="G56" s="83"/>
      <c r="H56" s="84"/>
      <c r="I56" s="93"/>
      <c r="J56" s="94"/>
      <c r="K56" s="94"/>
      <c r="L56" s="95"/>
      <c r="M56" s="96"/>
      <c r="N56" s="83"/>
      <c r="O56" s="97"/>
      <c r="P56" s="83"/>
      <c r="Q56" s="81"/>
    </row>
    <row r="57" hidden="1" spans="1:17">
      <c r="A57" s="81"/>
      <c r="B57" s="101"/>
      <c r="C57" s="82"/>
      <c r="D57" s="82"/>
      <c r="E57" s="83"/>
      <c r="F57" s="83"/>
      <c r="G57" s="83"/>
      <c r="H57" s="84"/>
      <c r="I57" s="93"/>
      <c r="J57" s="94"/>
      <c r="K57" s="94"/>
      <c r="L57" s="95"/>
      <c r="M57" s="96"/>
      <c r="N57" s="83"/>
      <c r="O57" s="97"/>
      <c r="P57" s="83"/>
      <c r="Q57" s="81"/>
    </row>
    <row r="58" hidden="1" spans="1:17">
      <c r="A58" s="81"/>
      <c r="B58" s="101"/>
      <c r="C58" s="82"/>
      <c r="D58" s="82"/>
      <c r="E58" s="83"/>
      <c r="F58" s="83"/>
      <c r="G58" s="83"/>
      <c r="H58" s="84"/>
      <c r="I58" s="93"/>
      <c r="J58" s="94"/>
      <c r="K58" s="94"/>
      <c r="L58" s="95"/>
      <c r="M58" s="96"/>
      <c r="N58" s="83"/>
      <c r="O58" s="97"/>
      <c r="P58" s="83"/>
      <c r="Q58" s="81"/>
    </row>
    <row r="59" hidden="1" spans="1:17">
      <c r="A59" s="81"/>
      <c r="B59" s="101"/>
      <c r="C59" s="82"/>
      <c r="D59" s="82"/>
      <c r="E59" s="83"/>
      <c r="F59" s="83"/>
      <c r="G59" s="83"/>
      <c r="H59" s="84"/>
      <c r="I59" s="93"/>
      <c r="J59" s="94"/>
      <c r="K59" s="94"/>
      <c r="L59" s="95"/>
      <c r="M59" s="96"/>
      <c r="N59" s="83"/>
      <c r="O59" s="97"/>
      <c r="P59" s="83"/>
      <c r="Q59" s="81"/>
    </row>
    <row r="60" hidden="1" spans="1:17">
      <c r="A60" s="81"/>
      <c r="B60" s="101"/>
      <c r="C60" s="82"/>
      <c r="D60" s="82"/>
      <c r="E60" s="83"/>
      <c r="F60" s="83"/>
      <c r="G60" s="83"/>
      <c r="H60" s="84"/>
      <c r="I60" s="93"/>
      <c r="J60" s="94"/>
      <c r="K60" s="94"/>
      <c r="L60" s="95"/>
      <c r="M60" s="96"/>
      <c r="N60" s="83"/>
      <c r="O60" s="97"/>
      <c r="P60" s="83"/>
      <c r="Q60" s="81"/>
    </row>
    <row r="61" hidden="1" spans="1:17">
      <c r="A61" s="81"/>
      <c r="B61" s="101"/>
      <c r="C61" s="82"/>
      <c r="D61" s="82"/>
      <c r="E61" s="83"/>
      <c r="F61" s="83"/>
      <c r="G61" s="83"/>
      <c r="H61" s="84"/>
      <c r="I61" s="93"/>
      <c r="J61" s="94"/>
      <c r="K61" s="94"/>
      <c r="L61" s="95"/>
      <c r="M61" s="96"/>
      <c r="N61" s="83"/>
      <c r="O61" s="97"/>
      <c r="P61" s="83"/>
      <c r="Q61" s="81"/>
    </row>
    <row r="62" hidden="1" spans="1:17">
      <c r="A62" s="81"/>
      <c r="B62" s="101"/>
      <c r="C62" s="82"/>
      <c r="D62" s="82"/>
      <c r="E62" s="83"/>
      <c r="F62" s="83"/>
      <c r="G62" s="83"/>
      <c r="H62" s="84"/>
      <c r="I62" s="93"/>
      <c r="J62" s="94"/>
      <c r="K62" s="94"/>
      <c r="L62" s="95"/>
      <c r="M62" s="96"/>
      <c r="N62" s="83"/>
      <c r="O62" s="97"/>
      <c r="P62" s="83"/>
      <c r="Q62" s="81"/>
    </row>
    <row r="63" hidden="1" spans="1:17">
      <c r="A63" s="81"/>
      <c r="B63" s="81"/>
      <c r="C63" s="82"/>
      <c r="D63" s="82"/>
      <c r="E63" s="83"/>
      <c r="F63" s="83"/>
      <c r="G63" s="83"/>
      <c r="H63" s="84"/>
      <c r="I63" s="93"/>
      <c r="J63" s="94"/>
      <c r="K63" s="94"/>
      <c r="L63" s="95"/>
      <c r="M63" s="96"/>
      <c r="N63" s="83"/>
      <c r="O63" s="97"/>
      <c r="P63" s="83"/>
      <c r="Q63" s="81"/>
    </row>
    <row r="64" hidden="1" spans="1:17">
      <c r="A64" s="81"/>
      <c r="B64" s="101"/>
      <c r="C64" s="82"/>
      <c r="D64" s="82"/>
      <c r="E64" s="83"/>
      <c r="F64" s="83"/>
      <c r="G64" s="83"/>
      <c r="H64" s="84"/>
      <c r="I64" s="93"/>
      <c r="J64" s="94"/>
      <c r="K64" s="94"/>
      <c r="L64" s="95"/>
      <c r="M64" s="96"/>
      <c r="N64" s="96"/>
      <c r="O64" s="97"/>
      <c r="P64" s="83"/>
      <c r="Q64" s="81"/>
    </row>
    <row r="65" spans="1:17">
      <c r="A65" s="81"/>
      <c r="B65" s="101"/>
      <c r="C65" s="82"/>
      <c r="D65" s="82"/>
      <c r="E65" s="83"/>
      <c r="F65" s="83"/>
      <c r="G65" s="83"/>
      <c r="H65" s="84"/>
      <c r="I65" s="93"/>
      <c r="J65" s="94"/>
      <c r="K65" s="94"/>
      <c r="L65" s="95"/>
      <c r="M65" s="96"/>
      <c r="N65" s="96"/>
      <c r="O65" s="97"/>
      <c r="P65" s="83"/>
      <c r="Q65" s="81"/>
    </row>
    <row r="66" spans="1:17">
      <c r="A66" s="81"/>
      <c r="B66" s="101"/>
      <c r="C66" s="82"/>
      <c r="D66" s="82"/>
      <c r="E66" s="83"/>
      <c r="F66" s="83"/>
      <c r="G66" s="83"/>
      <c r="H66" s="84"/>
      <c r="I66" s="93"/>
      <c r="J66" s="94"/>
      <c r="K66" s="94"/>
      <c r="L66" s="95"/>
      <c r="M66" s="96"/>
      <c r="N66" s="96"/>
      <c r="O66" s="97"/>
      <c r="P66" s="83"/>
      <c r="Q66" s="81"/>
    </row>
    <row r="67" hidden="1" spans="1:17">
      <c r="A67" s="81"/>
      <c r="B67" s="101"/>
      <c r="C67" s="82"/>
      <c r="D67" s="82"/>
      <c r="E67" s="83"/>
      <c r="F67" s="83"/>
      <c r="G67" s="83"/>
      <c r="H67" s="84"/>
      <c r="I67" s="93"/>
      <c r="J67" s="94"/>
      <c r="K67" s="94"/>
      <c r="L67" s="95"/>
      <c r="M67" s="96"/>
      <c r="N67" s="96"/>
      <c r="O67" s="97"/>
      <c r="P67" s="83"/>
      <c r="Q67" s="81"/>
    </row>
    <row r="68" hidden="1" spans="1:17">
      <c r="A68" s="81"/>
      <c r="B68" s="101"/>
      <c r="C68" s="82"/>
      <c r="D68" s="82"/>
      <c r="E68" s="83"/>
      <c r="F68" s="83"/>
      <c r="G68" s="83"/>
      <c r="H68" s="84"/>
      <c r="I68" s="93"/>
      <c r="J68" s="94"/>
      <c r="K68" s="94"/>
      <c r="L68" s="95"/>
      <c r="M68" s="96"/>
      <c r="N68" s="83"/>
      <c r="O68" s="97"/>
      <c r="P68" s="83"/>
      <c r="Q68" s="81"/>
    </row>
    <row r="69" hidden="1" spans="1:17">
      <c r="A69" s="81"/>
      <c r="B69" s="101"/>
      <c r="C69" s="82"/>
      <c r="D69" s="82"/>
      <c r="E69" s="83"/>
      <c r="F69" s="83"/>
      <c r="G69" s="83"/>
      <c r="H69" s="84"/>
      <c r="I69" s="93"/>
      <c r="J69" s="94"/>
      <c r="K69" s="94"/>
      <c r="L69" s="95"/>
      <c r="M69" s="96"/>
      <c r="N69" s="96"/>
      <c r="O69" s="97"/>
      <c r="P69" s="83"/>
      <c r="Q69" s="81"/>
    </row>
    <row r="70" hidden="1" spans="1:17">
      <c r="A70" s="81"/>
      <c r="B70" s="101"/>
      <c r="C70" s="82"/>
      <c r="D70" s="82"/>
      <c r="E70" s="83"/>
      <c r="F70" s="83"/>
      <c r="G70" s="83"/>
      <c r="H70" s="84"/>
      <c r="I70" s="93"/>
      <c r="J70" s="94"/>
      <c r="K70" s="94"/>
      <c r="L70" s="95"/>
      <c r="M70" s="96"/>
      <c r="N70" s="96"/>
      <c r="O70" s="97"/>
      <c r="P70" s="83"/>
      <c r="Q70" s="81"/>
    </row>
    <row r="71" hidden="1" spans="1:17">
      <c r="A71" s="81"/>
      <c r="B71" s="101"/>
      <c r="C71" s="82"/>
      <c r="D71" s="82"/>
      <c r="E71" s="83"/>
      <c r="F71" s="83"/>
      <c r="G71" s="83"/>
      <c r="H71" s="84"/>
      <c r="I71" s="93"/>
      <c r="J71" s="94"/>
      <c r="K71" s="94"/>
      <c r="L71" s="95"/>
      <c r="M71" s="96"/>
      <c r="N71" s="96"/>
      <c r="O71" s="97"/>
      <c r="P71" s="83"/>
      <c r="Q71" s="81"/>
    </row>
    <row r="72" hidden="1" spans="1:17">
      <c r="A72" s="81"/>
      <c r="B72" s="101"/>
      <c r="C72" s="82"/>
      <c r="D72" s="82"/>
      <c r="E72" s="83"/>
      <c r="F72" s="83"/>
      <c r="G72" s="83"/>
      <c r="H72" s="84"/>
      <c r="I72" s="84"/>
      <c r="J72" s="94"/>
      <c r="K72" s="94"/>
      <c r="L72" s="95"/>
      <c r="M72" s="96"/>
      <c r="N72" s="83"/>
      <c r="O72" s="97"/>
      <c r="P72" s="83"/>
      <c r="Q72" s="81"/>
    </row>
    <row r="73" hidden="1" spans="1:17">
      <c r="A73" s="81"/>
      <c r="B73" s="101"/>
      <c r="C73" s="82"/>
      <c r="D73" s="82"/>
      <c r="E73" s="83"/>
      <c r="F73" s="83"/>
      <c r="G73" s="83"/>
      <c r="H73" s="84"/>
      <c r="I73" s="93"/>
      <c r="J73" s="94"/>
      <c r="K73" s="94"/>
      <c r="L73" s="95"/>
      <c r="M73" s="96"/>
      <c r="N73" s="96"/>
      <c r="O73" s="97"/>
      <c r="P73" s="83"/>
      <c r="Q73" s="81"/>
    </row>
    <row r="74" hidden="1" spans="1:17">
      <c r="A74" s="81"/>
      <c r="B74" s="101"/>
      <c r="C74" s="82"/>
      <c r="D74" s="82"/>
      <c r="E74" s="83"/>
      <c r="F74" s="83"/>
      <c r="G74" s="83"/>
      <c r="H74" s="84"/>
      <c r="I74" s="93"/>
      <c r="J74" s="94"/>
      <c r="K74" s="94"/>
      <c r="L74" s="95"/>
      <c r="M74" s="96"/>
      <c r="N74" s="96"/>
      <c r="O74" s="97"/>
      <c r="P74" s="83"/>
      <c r="Q74" s="81"/>
    </row>
    <row r="75" hidden="1" spans="1:17">
      <c r="A75" s="81"/>
      <c r="B75" s="101"/>
      <c r="C75" s="82"/>
      <c r="D75" s="82"/>
      <c r="E75" s="83"/>
      <c r="F75" s="83"/>
      <c r="G75" s="83"/>
      <c r="H75" s="84"/>
      <c r="I75" s="93"/>
      <c r="J75" s="94"/>
      <c r="K75" s="94"/>
      <c r="L75" s="95"/>
      <c r="M75" s="96"/>
      <c r="N75" s="83"/>
      <c r="O75" s="97"/>
      <c r="P75" s="83"/>
      <c r="Q75" s="81"/>
    </row>
    <row r="76" hidden="1" spans="1:17">
      <c r="A76" s="81"/>
      <c r="B76" s="101"/>
      <c r="C76" s="82"/>
      <c r="D76" s="82"/>
      <c r="E76" s="83"/>
      <c r="F76" s="83"/>
      <c r="G76" s="83"/>
      <c r="H76" s="84"/>
      <c r="I76" s="93"/>
      <c r="J76" s="94"/>
      <c r="K76" s="94"/>
      <c r="L76" s="95"/>
      <c r="M76" s="96"/>
      <c r="N76" s="83"/>
      <c r="O76" s="97"/>
      <c r="P76" s="83"/>
      <c r="Q76" s="81"/>
    </row>
    <row r="77" hidden="1" spans="1:17">
      <c r="A77" s="81"/>
      <c r="B77" s="101"/>
      <c r="C77" s="82"/>
      <c r="D77" s="82"/>
      <c r="E77" s="83"/>
      <c r="F77" s="83"/>
      <c r="G77" s="83"/>
      <c r="H77" s="84"/>
      <c r="I77" s="93"/>
      <c r="J77" s="94"/>
      <c r="K77" s="94"/>
      <c r="L77" s="95"/>
      <c r="M77" s="96"/>
      <c r="N77" s="96"/>
      <c r="O77" s="97"/>
      <c r="P77" s="83"/>
      <c r="Q77" s="81"/>
    </row>
    <row r="78" hidden="1" spans="1:17">
      <c r="A78" s="81"/>
      <c r="B78" s="101"/>
      <c r="C78" s="82"/>
      <c r="D78" s="82"/>
      <c r="E78" s="83"/>
      <c r="F78" s="83"/>
      <c r="G78" s="83"/>
      <c r="H78" s="84"/>
      <c r="I78" s="93"/>
      <c r="J78" s="94"/>
      <c r="K78" s="94"/>
      <c r="L78" s="95"/>
      <c r="M78" s="96"/>
      <c r="N78" s="96"/>
      <c r="O78" s="97"/>
      <c r="P78" s="83"/>
      <c r="Q78" s="81"/>
    </row>
    <row r="79" hidden="1" spans="1:17">
      <c r="A79" s="81"/>
      <c r="B79" s="101"/>
      <c r="C79" s="82"/>
      <c r="D79" s="82"/>
      <c r="E79" s="83"/>
      <c r="F79" s="83"/>
      <c r="G79" s="83"/>
      <c r="H79" s="84"/>
      <c r="I79" s="93"/>
      <c r="J79" s="94"/>
      <c r="K79" s="94"/>
      <c r="L79" s="95"/>
      <c r="M79" s="96"/>
      <c r="N79" s="83"/>
      <c r="O79" s="97"/>
      <c r="P79" s="83"/>
      <c r="Q79" s="81"/>
    </row>
    <row r="80" hidden="1" spans="1:17">
      <c r="A80" s="81"/>
      <c r="B80" s="101"/>
      <c r="C80" s="82"/>
      <c r="D80" s="82"/>
      <c r="E80" s="83"/>
      <c r="F80" s="83"/>
      <c r="G80" s="83"/>
      <c r="H80" s="84"/>
      <c r="I80" s="93"/>
      <c r="J80" s="94"/>
      <c r="K80" s="94"/>
      <c r="L80" s="95"/>
      <c r="M80" s="96"/>
      <c r="N80" s="96"/>
      <c r="O80" s="97"/>
      <c r="P80" s="83"/>
      <c r="Q80" s="81"/>
    </row>
    <row r="81" hidden="1" spans="1:17">
      <c r="A81" s="81"/>
      <c r="B81" s="101"/>
      <c r="C81" s="82"/>
      <c r="D81" s="82"/>
      <c r="E81" s="83"/>
      <c r="F81" s="83"/>
      <c r="G81" s="83"/>
      <c r="H81" s="84"/>
      <c r="I81" s="93"/>
      <c r="J81" s="94"/>
      <c r="K81" s="94"/>
      <c r="L81" s="95"/>
      <c r="M81" s="96"/>
      <c r="N81" s="83"/>
      <c r="O81" s="97"/>
      <c r="P81" s="83"/>
      <c r="Q81" s="81"/>
    </row>
    <row r="82" hidden="1" spans="1:17">
      <c r="A82" s="81"/>
      <c r="B82" s="101"/>
      <c r="C82" s="82"/>
      <c r="D82" s="82"/>
      <c r="E82" s="83"/>
      <c r="F82" s="83"/>
      <c r="G82" s="83"/>
      <c r="H82" s="84"/>
      <c r="I82" s="93"/>
      <c r="J82" s="94"/>
      <c r="K82" s="94"/>
      <c r="L82" s="95"/>
      <c r="M82" s="96"/>
      <c r="N82" s="83"/>
      <c r="O82" s="97"/>
      <c r="P82" s="83"/>
      <c r="Q82" s="81"/>
    </row>
    <row r="83" hidden="1" spans="1:17">
      <c r="A83" s="81"/>
      <c r="B83" s="101"/>
      <c r="C83" s="82"/>
      <c r="D83" s="82"/>
      <c r="E83" s="83"/>
      <c r="F83" s="83"/>
      <c r="G83" s="83"/>
      <c r="H83" s="84"/>
      <c r="I83" s="93"/>
      <c r="J83" s="94"/>
      <c r="K83" s="94"/>
      <c r="L83" s="95"/>
      <c r="M83" s="96"/>
      <c r="N83" s="83"/>
      <c r="O83" s="97"/>
      <c r="P83" s="83"/>
      <c r="Q83" s="81"/>
    </row>
    <row r="84" hidden="1" spans="1:17">
      <c r="A84" s="81"/>
      <c r="B84" s="101"/>
      <c r="C84" s="82"/>
      <c r="D84" s="82"/>
      <c r="E84" s="83"/>
      <c r="F84" s="83"/>
      <c r="G84" s="83"/>
      <c r="H84" s="84"/>
      <c r="I84" s="93"/>
      <c r="J84" s="94"/>
      <c r="K84" s="94"/>
      <c r="L84" s="95"/>
      <c r="M84" s="96"/>
      <c r="N84" s="96"/>
      <c r="O84" s="97"/>
      <c r="P84" s="83"/>
      <c r="Q84" s="81"/>
    </row>
    <row r="85" hidden="1" spans="1:17">
      <c r="A85" s="81"/>
      <c r="B85" s="101"/>
      <c r="C85" s="82"/>
      <c r="D85" s="82"/>
      <c r="E85" s="83"/>
      <c r="F85" s="83"/>
      <c r="G85" s="83"/>
      <c r="H85" s="84"/>
      <c r="I85" s="93"/>
      <c r="J85" s="94"/>
      <c r="K85" s="94"/>
      <c r="L85" s="95"/>
      <c r="M85" s="96"/>
      <c r="N85" s="83"/>
      <c r="O85" s="97"/>
      <c r="P85" s="83"/>
      <c r="Q85" s="81"/>
    </row>
    <row r="86" hidden="1" spans="1:17">
      <c r="A86" s="81"/>
      <c r="B86" s="101"/>
      <c r="C86" s="82"/>
      <c r="D86" s="82"/>
      <c r="E86" s="83"/>
      <c r="F86" s="83"/>
      <c r="G86" s="83"/>
      <c r="H86" s="84"/>
      <c r="I86" s="93"/>
      <c r="J86" s="94"/>
      <c r="K86" s="94"/>
      <c r="L86" s="95"/>
      <c r="M86" s="96"/>
      <c r="N86" s="96"/>
      <c r="O86" s="97"/>
      <c r="P86" s="83"/>
      <c r="Q86" s="81"/>
    </row>
    <row r="87" hidden="1" spans="1:17">
      <c r="A87" s="81"/>
      <c r="B87" s="101"/>
      <c r="C87" s="82"/>
      <c r="D87" s="82"/>
      <c r="E87" s="83"/>
      <c r="F87" s="83"/>
      <c r="G87" s="115"/>
      <c r="H87" s="84"/>
      <c r="I87" s="93"/>
      <c r="J87" s="94"/>
      <c r="K87" s="94"/>
      <c r="L87" s="95"/>
      <c r="M87" s="96"/>
      <c r="N87" s="83"/>
      <c r="O87" s="97"/>
      <c r="P87" s="83"/>
      <c r="Q87" s="81"/>
    </row>
    <row r="88" hidden="1" spans="1:17">
      <c r="A88" s="81"/>
      <c r="B88" s="101"/>
      <c r="C88" s="82"/>
      <c r="D88" s="82"/>
      <c r="E88" s="83"/>
      <c r="F88" s="83"/>
      <c r="G88" s="115"/>
      <c r="H88" s="84"/>
      <c r="I88" s="93"/>
      <c r="J88" s="94"/>
      <c r="K88" s="94"/>
      <c r="L88" s="95"/>
      <c r="M88" s="96"/>
      <c r="N88" s="83"/>
      <c r="O88" s="97"/>
      <c r="P88" s="83"/>
      <c r="Q88" s="81"/>
    </row>
    <row r="89" hidden="1" spans="1:17">
      <c r="A89" s="81"/>
      <c r="B89" s="101"/>
      <c r="C89" s="82"/>
      <c r="D89" s="82"/>
      <c r="E89" s="83"/>
      <c r="F89" s="83"/>
      <c r="G89" s="115"/>
      <c r="H89" s="84"/>
      <c r="I89" s="93"/>
      <c r="J89" s="94"/>
      <c r="K89" s="94"/>
      <c r="L89" s="95"/>
      <c r="M89" s="96"/>
      <c r="N89" s="83"/>
      <c r="O89" s="97"/>
      <c r="P89" s="83"/>
      <c r="Q89" s="81"/>
    </row>
    <row r="90" hidden="1" spans="1:17">
      <c r="A90" s="81"/>
      <c r="B90" s="101"/>
      <c r="C90" s="82"/>
      <c r="D90" s="82"/>
      <c r="E90" s="83"/>
      <c r="F90" s="83"/>
      <c r="G90" s="115"/>
      <c r="H90" s="84"/>
      <c r="I90" s="93"/>
      <c r="J90" s="94"/>
      <c r="K90" s="94"/>
      <c r="L90" s="95"/>
      <c r="M90" s="96"/>
      <c r="N90" s="83"/>
      <c r="O90" s="97"/>
      <c r="P90" s="83"/>
      <c r="Q90" s="81"/>
    </row>
    <row r="91" hidden="1" spans="1:17">
      <c r="A91" s="81"/>
      <c r="B91" s="101"/>
      <c r="C91" s="82"/>
      <c r="D91" s="82"/>
      <c r="E91" s="83"/>
      <c r="F91" s="83"/>
      <c r="G91" s="83"/>
      <c r="H91" s="84"/>
      <c r="I91" s="93"/>
      <c r="J91" s="94"/>
      <c r="K91" s="94"/>
      <c r="L91" s="95"/>
      <c r="M91" s="96"/>
      <c r="N91" s="96"/>
      <c r="O91" s="97"/>
      <c r="P91" s="83"/>
      <c r="Q91" s="81"/>
    </row>
    <row r="92" hidden="1" spans="1:17">
      <c r="A92" s="81"/>
      <c r="B92" s="101"/>
      <c r="C92" s="82"/>
      <c r="D92" s="82"/>
      <c r="E92" s="83"/>
      <c r="F92" s="83"/>
      <c r="G92" s="83"/>
      <c r="H92" s="84"/>
      <c r="I92" s="93"/>
      <c r="J92" s="94"/>
      <c r="K92" s="94"/>
      <c r="L92" s="95"/>
      <c r="M92" s="96"/>
      <c r="N92" s="96"/>
      <c r="O92" s="97"/>
      <c r="P92" s="83"/>
      <c r="Q92" s="81"/>
    </row>
    <row r="93" hidden="1" spans="1:17">
      <c r="A93" s="81"/>
      <c r="B93" s="101"/>
      <c r="C93" s="82"/>
      <c r="D93" s="82"/>
      <c r="E93" s="83"/>
      <c r="F93" s="83"/>
      <c r="G93" s="83"/>
      <c r="H93" s="84"/>
      <c r="I93" s="93"/>
      <c r="J93" s="94"/>
      <c r="K93" s="94"/>
      <c r="L93" s="95"/>
      <c r="M93" s="96"/>
      <c r="N93" s="96"/>
      <c r="O93" s="97"/>
      <c r="P93" s="83"/>
      <c r="Q93" s="81"/>
    </row>
    <row r="94" hidden="1" spans="1:17">
      <c r="A94" s="81"/>
      <c r="B94" s="101"/>
      <c r="C94" s="82"/>
      <c r="D94" s="82"/>
      <c r="E94" s="83"/>
      <c r="F94" s="83"/>
      <c r="G94" s="83"/>
      <c r="H94" s="84"/>
      <c r="I94" s="93"/>
      <c r="J94" s="94"/>
      <c r="K94" s="94"/>
      <c r="L94" s="95"/>
      <c r="M94" s="96"/>
      <c r="N94" s="83"/>
      <c r="O94" s="97"/>
      <c r="P94" s="83"/>
      <c r="Q94" s="81"/>
    </row>
    <row r="95" spans="1:17">
      <c r="A95" s="81"/>
      <c r="B95" s="101"/>
      <c r="C95" s="82"/>
      <c r="D95" s="82"/>
      <c r="E95" s="83"/>
      <c r="F95" s="83"/>
      <c r="G95" s="83"/>
      <c r="H95" s="84"/>
      <c r="I95" s="93"/>
      <c r="J95" s="94"/>
      <c r="K95" s="94"/>
      <c r="L95" s="95"/>
      <c r="M95" s="96"/>
      <c r="N95" s="83"/>
      <c r="O95" s="97"/>
      <c r="P95" s="83"/>
      <c r="Q95" s="81"/>
    </row>
    <row r="96" spans="1:17">
      <c r="A96" s="81"/>
      <c r="B96" s="101"/>
      <c r="C96" s="82"/>
      <c r="D96" s="82"/>
      <c r="E96" s="83"/>
      <c r="F96" s="83"/>
      <c r="G96" s="83"/>
      <c r="H96" s="84"/>
      <c r="I96" s="93"/>
      <c r="J96" s="94"/>
      <c r="K96" s="94"/>
      <c r="L96" s="95"/>
      <c r="M96" s="96"/>
      <c r="N96" s="83"/>
      <c r="O96" s="97"/>
      <c r="P96" s="83"/>
      <c r="Q96" s="81"/>
    </row>
    <row r="97" hidden="1" spans="1:17">
      <c r="A97" s="81"/>
      <c r="B97" s="101"/>
      <c r="C97" s="82"/>
      <c r="D97" s="82"/>
      <c r="E97" s="83"/>
      <c r="F97" s="83"/>
      <c r="G97" s="83"/>
      <c r="H97" s="84"/>
      <c r="I97" s="93"/>
      <c r="J97" s="94"/>
      <c r="K97" s="94"/>
      <c r="L97" s="95"/>
      <c r="M97" s="96"/>
      <c r="N97" s="83"/>
      <c r="O97" s="97"/>
      <c r="P97" s="83"/>
      <c r="Q97" s="81"/>
    </row>
    <row r="98" spans="1:17">
      <c r="A98" s="81"/>
      <c r="B98" s="101"/>
      <c r="C98" s="82"/>
      <c r="D98" s="82"/>
      <c r="E98" s="83"/>
      <c r="F98" s="83"/>
      <c r="G98" s="83"/>
      <c r="H98" s="84"/>
      <c r="I98" s="93"/>
      <c r="J98" s="94"/>
      <c r="K98" s="94"/>
      <c r="L98" s="95"/>
      <c r="M98" s="96"/>
      <c r="N98" s="96"/>
      <c r="O98" s="97"/>
      <c r="P98" s="83"/>
      <c r="Q98" s="81"/>
    </row>
    <row r="99" spans="1:17">
      <c r="A99" s="81"/>
      <c r="B99" s="101"/>
      <c r="C99" s="82"/>
      <c r="D99" s="82"/>
      <c r="E99" s="83"/>
      <c r="F99" s="83"/>
      <c r="G99" s="83"/>
      <c r="H99" s="84"/>
      <c r="I99" s="93"/>
      <c r="J99" s="94"/>
      <c r="K99" s="94"/>
      <c r="L99" s="95"/>
      <c r="M99" s="96"/>
      <c r="N99" s="96"/>
      <c r="O99" s="97"/>
      <c r="P99" s="83"/>
      <c r="Q99" s="81"/>
    </row>
    <row r="100" hidden="1" spans="1:17">
      <c r="A100" s="81"/>
      <c r="B100" s="101"/>
      <c r="C100" s="82"/>
      <c r="D100" s="82"/>
      <c r="E100" s="83"/>
      <c r="F100" s="83"/>
      <c r="G100" s="83"/>
      <c r="H100" s="84"/>
      <c r="I100" s="93"/>
      <c r="J100" s="94"/>
      <c r="K100" s="94"/>
      <c r="L100" s="95"/>
      <c r="M100" s="96"/>
      <c r="N100" s="96"/>
      <c r="O100" s="97"/>
      <c r="P100" s="83"/>
      <c r="Q100" s="81"/>
    </row>
    <row r="101" hidden="1" spans="1:17">
      <c r="A101" s="81"/>
      <c r="B101" s="101"/>
      <c r="C101" s="82"/>
      <c r="D101" s="82"/>
      <c r="E101" s="83"/>
      <c r="F101" s="83"/>
      <c r="G101" s="83"/>
      <c r="H101" s="84"/>
      <c r="I101" s="93"/>
      <c r="J101" s="94"/>
      <c r="K101" s="94"/>
      <c r="L101" s="95"/>
      <c r="M101" s="96"/>
      <c r="N101" s="96"/>
      <c r="O101" s="97"/>
      <c r="P101" s="83"/>
      <c r="Q101" s="81"/>
    </row>
    <row r="102" hidden="1" spans="1:17">
      <c r="A102" s="81"/>
      <c r="B102" s="101"/>
      <c r="C102" s="82"/>
      <c r="D102" s="82"/>
      <c r="E102" s="83"/>
      <c r="F102" s="83"/>
      <c r="G102" s="83"/>
      <c r="H102" s="84"/>
      <c r="I102" s="93"/>
      <c r="J102" s="94"/>
      <c r="K102" s="94"/>
      <c r="L102" s="95"/>
      <c r="M102" s="96"/>
      <c r="N102" s="96"/>
      <c r="O102" s="97"/>
      <c r="P102" s="83"/>
      <c r="Q102" s="81"/>
    </row>
    <row r="103" hidden="1" spans="1:17">
      <c r="A103" s="81"/>
      <c r="B103" s="101"/>
      <c r="C103" s="82"/>
      <c r="D103" s="82"/>
      <c r="E103" s="83"/>
      <c r="F103" s="83"/>
      <c r="G103" s="83"/>
      <c r="H103" s="84"/>
      <c r="I103" s="93"/>
      <c r="J103" s="94"/>
      <c r="K103" s="94"/>
      <c r="L103" s="95"/>
      <c r="M103" s="96"/>
      <c r="N103" s="96"/>
      <c r="O103" s="97"/>
      <c r="P103" s="83"/>
      <c r="Q103" s="81"/>
    </row>
    <row r="104" hidden="1" spans="1:17">
      <c r="A104" s="81"/>
      <c r="B104" s="101"/>
      <c r="C104" s="82"/>
      <c r="D104" s="82"/>
      <c r="E104" s="83"/>
      <c r="F104" s="83"/>
      <c r="G104" s="83"/>
      <c r="H104" s="84"/>
      <c r="I104" s="84"/>
      <c r="J104" s="94"/>
      <c r="K104" s="94"/>
      <c r="L104" s="95"/>
      <c r="M104" s="96"/>
      <c r="N104" s="96"/>
      <c r="O104" s="97"/>
      <c r="P104" s="83"/>
      <c r="Q104" s="81"/>
    </row>
    <row r="105" hidden="1" spans="1:17">
      <c r="A105" s="81"/>
      <c r="B105" s="101"/>
      <c r="C105" s="82"/>
      <c r="D105" s="82"/>
      <c r="E105" s="83"/>
      <c r="F105" s="83"/>
      <c r="G105" s="83"/>
      <c r="H105" s="84"/>
      <c r="I105" s="84"/>
      <c r="J105" s="94"/>
      <c r="K105" s="94"/>
      <c r="L105" s="95"/>
      <c r="M105" s="96"/>
      <c r="N105" s="96"/>
      <c r="O105" s="97"/>
      <c r="P105" s="83"/>
      <c r="Q105" s="81"/>
    </row>
    <row r="106" hidden="1" spans="1:17">
      <c r="A106" s="81"/>
      <c r="B106" s="101"/>
      <c r="C106" s="82"/>
      <c r="D106" s="82"/>
      <c r="E106" s="83"/>
      <c r="F106" s="83"/>
      <c r="G106" s="83"/>
      <c r="H106" s="84"/>
      <c r="I106" s="84"/>
      <c r="J106" s="94"/>
      <c r="K106" s="94"/>
      <c r="L106" s="95"/>
      <c r="M106" s="96"/>
      <c r="N106" s="96"/>
      <c r="O106" s="97"/>
      <c r="P106" s="83"/>
      <c r="Q106" s="81"/>
    </row>
    <row r="107" hidden="1" spans="1:17">
      <c r="A107" s="81"/>
      <c r="B107" s="101"/>
      <c r="C107" s="82"/>
      <c r="D107" s="82"/>
      <c r="E107" s="83"/>
      <c r="F107" s="83"/>
      <c r="G107" s="83"/>
      <c r="H107" s="84"/>
      <c r="I107" s="93"/>
      <c r="J107" s="94"/>
      <c r="K107" s="94"/>
      <c r="L107" s="95"/>
      <c r="M107" s="96"/>
      <c r="N107" s="96"/>
      <c r="O107" s="97"/>
      <c r="P107" s="83"/>
      <c r="Q107" s="81"/>
    </row>
    <row r="108" hidden="1" spans="1:17">
      <c r="A108" s="81"/>
      <c r="B108" s="101"/>
      <c r="C108" s="82"/>
      <c r="D108" s="82"/>
      <c r="E108" s="83"/>
      <c r="F108" s="83"/>
      <c r="G108" s="83"/>
      <c r="H108" s="84"/>
      <c r="I108" s="93"/>
      <c r="J108" s="94"/>
      <c r="K108" s="94"/>
      <c r="L108" s="95"/>
      <c r="M108" s="96"/>
      <c r="N108" s="96"/>
      <c r="O108" s="97"/>
      <c r="P108" s="83"/>
      <c r="Q108" s="81"/>
    </row>
    <row r="109" hidden="1" spans="1:17">
      <c r="A109" s="81"/>
      <c r="B109" s="101"/>
      <c r="C109" s="82"/>
      <c r="D109" s="82"/>
      <c r="E109" s="83"/>
      <c r="F109" s="83"/>
      <c r="G109" s="83"/>
      <c r="H109" s="84"/>
      <c r="I109" s="93"/>
      <c r="J109" s="94"/>
      <c r="K109" s="94"/>
      <c r="L109" s="95"/>
      <c r="M109" s="96"/>
      <c r="N109" s="83"/>
      <c r="O109" s="97"/>
      <c r="P109" s="83"/>
      <c r="Q109" s="81"/>
    </row>
    <row r="110" hidden="1" spans="1:17">
      <c r="A110" s="81"/>
      <c r="B110" s="101"/>
      <c r="C110" s="82"/>
      <c r="D110" s="82"/>
      <c r="E110" s="83"/>
      <c r="F110" s="83"/>
      <c r="G110" s="83"/>
      <c r="H110" s="84"/>
      <c r="I110" s="93"/>
      <c r="J110" s="94"/>
      <c r="K110" s="94"/>
      <c r="L110" s="95"/>
      <c r="M110" s="96"/>
      <c r="N110" s="83"/>
      <c r="O110" s="97"/>
      <c r="P110" s="83"/>
      <c r="Q110" s="81"/>
    </row>
    <row r="111" hidden="1" spans="1:17">
      <c r="A111" s="81"/>
      <c r="B111" s="101"/>
      <c r="C111" s="82"/>
      <c r="D111" s="82"/>
      <c r="E111" s="83"/>
      <c r="F111" s="83"/>
      <c r="G111" s="83"/>
      <c r="H111" s="84"/>
      <c r="I111" s="93"/>
      <c r="J111" s="94"/>
      <c r="K111" s="94"/>
      <c r="L111" s="95"/>
      <c r="M111" s="96"/>
      <c r="N111" s="83"/>
      <c r="O111" s="97"/>
      <c r="P111" s="83"/>
      <c r="Q111" s="81"/>
    </row>
    <row r="112" hidden="1" spans="1:17">
      <c r="A112" s="81"/>
      <c r="B112" s="101"/>
      <c r="C112" s="82"/>
      <c r="D112" s="82"/>
      <c r="E112" s="83"/>
      <c r="F112" s="83"/>
      <c r="G112" s="83"/>
      <c r="H112" s="84"/>
      <c r="I112" s="93"/>
      <c r="J112" s="94"/>
      <c r="K112" s="94"/>
      <c r="L112" s="95"/>
      <c r="M112" s="96"/>
      <c r="N112" s="83"/>
      <c r="O112" s="97"/>
      <c r="P112" s="83"/>
      <c r="Q112" s="81"/>
    </row>
    <row r="113" hidden="1" spans="1:17">
      <c r="A113" s="81"/>
      <c r="B113" s="101"/>
      <c r="C113" s="82"/>
      <c r="D113" s="82"/>
      <c r="E113" s="83"/>
      <c r="F113" s="83"/>
      <c r="G113" s="83"/>
      <c r="H113" s="84"/>
      <c r="I113" s="93"/>
      <c r="J113" s="94"/>
      <c r="K113" s="94"/>
      <c r="L113" s="95"/>
      <c r="M113" s="96"/>
      <c r="N113" s="83"/>
      <c r="O113" s="97"/>
      <c r="P113" s="83"/>
      <c r="Q113" s="81"/>
    </row>
    <row r="114" hidden="1" spans="1:17">
      <c r="A114" s="81"/>
      <c r="B114" s="101"/>
      <c r="C114" s="82"/>
      <c r="D114" s="82"/>
      <c r="E114" s="83"/>
      <c r="F114" s="83"/>
      <c r="G114" s="83"/>
      <c r="H114" s="84"/>
      <c r="I114" s="93"/>
      <c r="J114" s="94"/>
      <c r="K114" s="94"/>
      <c r="L114" s="95"/>
      <c r="M114" s="96"/>
      <c r="N114" s="83"/>
      <c r="O114" s="97"/>
      <c r="P114" s="83"/>
      <c r="Q114" s="81"/>
    </row>
    <row r="115" hidden="1" spans="1:17">
      <c r="A115" s="81"/>
      <c r="B115" s="101"/>
      <c r="C115" s="82"/>
      <c r="D115" s="82"/>
      <c r="E115" s="83"/>
      <c r="F115" s="83"/>
      <c r="G115" s="83"/>
      <c r="H115" s="84"/>
      <c r="I115" s="93"/>
      <c r="J115" s="94"/>
      <c r="K115" s="94"/>
      <c r="L115" s="95"/>
      <c r="M115" s="96"/>
      <c r="N115" s="83"/>
      <c r="O115" s="97"/>
      <c r="P115" s="83"/>
      <c r="Q115" s="81"/>
    </row>
    <row r="116" hidden="1" spans="1:17">
      <c r="A116" s="81"/>
      <c r="B116" s="101"/>
      <c r="C116" s="82"/>
      <c r="D116" s="82"/>
      <c r="E116" s="83"/>
      <c r="F116" s="83"/>
      <c r="G116" s="83"/>
      <c r="H116" s="84"/>
      <c r="I116" s="93"/>
      <c r="J116" s="94"/>
      <c r="K116" s="94"/>
      <c r="L116" s="95"/>
      <c r="M116" s="96"/>
      <c r="N116" s="83"/>
      <c r="O116" s="97"/>
      <c r="P116" s="83"/>
      <c r="Q116" s="81"/>
    </row>
    <row r="117" hidden="1" spans="1:17">
      <c r="A117" s="81"/>
      <c r="B117" s="101"/>
      <c r="C117" s="82"/>
      <c r="D117" s="82"/>
      <c r="E117" s="83"/>
      <c r="F117" s="83"/>
      <c r="G117" s="83"/>
      <c r="H117" s="84"/>
      <c r="I117" s="93"/>
      <c r="J117" s="94"/>
      <c r="K117" s="94"/>
      <c r="L117" s="95"/>
      <c r="M117" s="96"/>
      <c r="N117" s="83"/>
      <c r="O117" s="97"/>
      <c r="P117" s="83"/>
      <c r="Q117" s="81"/>
    </row>
    <row r="118" hidden="1" spans="1:17">
      <c r="A118" s="81"/>
      <c r="B118" s="101"/>
      <c r="C118" s="82"/>
      <c r="D118" s="82"/>
      <c r="E118" s="83"/>
      <c r="F118" s="83"/>
      <c r="G118" s="83"/>
      <c r="H118" s="84"/>
      <c r="I118" s="93"/>
      <c r="J118" s="94"/>
      <c r="K118" s="94"/>
      <c r="L118" s="95"/>
      <c r="M118" s="96"/>
      <c r="N118" s="83"/>
      <c r="O118" s="97"/>
      <c r="P118" s="83"/>
      <c r="Q118" s="81"/>
    </row>
    <row r="119" hidden="1" spans="1:17">
      <c r="A119" s="81"/>
      <c r="B119" s="101"/>
      <c r="C119" s="82"/>
      <c r="D119" s="82"/>
      <c r="E119" s="83"/>
      <c r="F119" s="83"/>
      <c r="G119" s="83"/>
      <c r="H119" s="84"/>
      <c r="I119" s="93"/>
      <c r="J119" s="94"/>
      <c r="K119" s="94"/>
      <c r="L119" s="95"/>
      <c r="M119" s="96"/>
      <c r="N119" s="83"/>
      <c r="O119" s="97"/>
      <c r="P119" s="83"/>
      <c r="Q119" s="81"/>
    </row>
    <row r="120" hidden="1" spans="1:17">
      <c r="A120" s="81"/>
      <c r="B120" s="122"/>
      <c r="C120" s="82"/>
      <c r="D120" s="82"/>
      <c r="E120" s="83"/>
      <c r="F120" s="83"/>
      <c r="G120" s="83"/>
      <c r="H120" s="84"/>
      <c r="I120" s="93"/>
      <c r="J120" s="94"/>
      <c r="K120" s="94"/>
      <c r="L120" s="95"/>
      <c r="M120" s="96"/>
      <c r="N120" s="83"/>
      <c r="O120" s="97"/>
      <c r="P120" s="83"/>
      <c r="Q120" s="81"/>
    </row>
    <row r="121" hidden="1" spans="1:17">
      <c r="A121" s="81"/>
      <c r="B121" s="101"/>
      <c r="C121" s="82"/>
      <c r="D121" s="82"/>
      <c r="E121" s="83"/>
      <c r="F121" s="83"/>
      <c r="G121" s="83"/>
      <c r="H121" s="84"/>
      <c r="I121" s="93"/>
      <c r="J121" s="94"/>
      <c r="K121" s="94"/>
      <c r="L121" s="95"/>
      <c r="M121" s="96"/>
      <c r="N121" s="83"/>
      <c r="O121" s="97"/>
      <c r="P121" s="83"/>
      <c r="Q121" s="81"/>
    </row>
    <row r="122" hidden="1" spans="1:17">
      <c r="A122" s="81"/>
      <c r="B122" s="101"/>
      <c r="C122" s="82"/>
      <c r="D122" s="82"/>
      <c r="E122" s="83"/>
      <c r="F122" s="83"/>
      <c r="G122" s="83"/>
      <c r="H122" s="84"/>
      <c r="I122" s="93"/>
      <c r="J122" s="94"/>
      <c r="K122" s="94"/>
      <c r="L122" s="95"/>
      <c r="M122" s="96"/>
      <c r="N122" s="83"/>
      <c r="O122" s="97"/>
      <c r="P122" s="83"/>
      <c r="Q122" s="81"/>
    </row>
    <row r="123" hidden="1" spans="1:17">
      <c r="A123" s="81"/>
      <c r="B123" s="101"/>
      <c r="C123" s="82"/>
      <c r="D123" s="82"/>
      <c r="E123" s="83"/>
      <c r="F123" s="83"/>
      <c r="G123" s="83"/>
      <c r="H123" s="84"/>
      <c r="I123" s="93"/>
      <c r="J123" s="94"/>
      <c r="K123" s="94"/>
      <c r="L123" s="95"/>
      <c r="M123" s="96"/>
      <c r="N123" s="83"/>
      <c r="O123" s="97"/>
      <c r="P123" s="83"/>
      <c r="Q123" s="81"/>
    </row>
    <row r="124" hidden="1" spans="1:17">
      <c r="A124" s="81"/>
      <c r="B124" s="101"/>
      <c r="C124" s="82"/>
      <c r="D124" s="82"/>
      <c r="E124" s="83"/>
      <c r="F124" s="83"/>
      <c r="G124" s="83"/>
      <c r="H124" s="84"/>
      <c r="I124" s="93"/>
      <c r="J124" s="94"/>
      <c r="K124" s="94"/>
      <c r="L124" s="95"/>
      <c r="M124" s="96"/>
      <c r="N124" s="83"/>
      <c r="O124" s="97"/>
      <c r="P124" s="83"/>
      <c r="Q124" s="81"/>
    </row>
    <row r="125" hidden="1" spans="1:17">
      <c r="A125" s="81"/>
      <c r="B125" s="101"/>
      <c r="C125" s="82"/>
      <c r="D125" s="82"/>
      <c r="E125" s="83"/>
      <c r="F125" s="83"/>
      <c r="G125" s="83"/>
      <c r="H125" s="84"/>
      <c r="I125" s="93"/>
      <c r="J125" s="94"/>
      <c r="K125" s="94"/>
      <c r="L125" s="95"/>
      <c r="M125" s="96"/>
      <c r="N125" s="83"/>
      <c r="O125" s="97"/>
      <c r="P125" s="83"/>
      <c r="Q125" s="81"/>
    </row>
    <row r="126" hidden="1" spans="1:17">
      <c r="A126" s="81"/>
      <c r="B126" s="101"/>
      <c r="C126" s="82"/>
      <c r="D126" s="82"/>
      <c r="E126" s="83"/>
      <c r="F126" s="83"/>
      <c r="G126" s="83"/>
      <c r="H126" s="84"/>
      <c r="I126" s="93"/>
      <c r="J126" s="94"/>
      <c r="K126" s="94"/>
      <c r="L126" s="95"/>
      <c r="M126" s="96"/>
      <c r="N126" s="83"/>
      <c r="O126" s="97"/>
      <c r="P126" s="83"/>
      <c r="Q126" s="81"/>
    </row>
    <row r="127" hidden="1" spans="1:17">
      <c r="A127" s="81"/>
      <c r="B127" s="101"/>
      <c r="C127" s="82"/>
      <c r="D127" s="82"/>
      <c r="E127" s="83"/>
      <c r="F127" s="83"/>
      <c r="G127" s="83"/>
      <c r="H127" s="84"/>
      <c r="I127" s="93"/>
      <c r="J127" s="94"/>
      <c r="K127" s="94"/>
      <c r="L127" s="95"/>
      <c r="M127" s="96"/>
      <c r="N127" s="83"/>
      <c r="O127" s="97"/>
      <c r="P127" s="83"/>
      <c r="Q127" s="81"/>
    </row>
    <row r="128" hidden="1" spans="1:17">
      <c r="A128" s="81"/>
      <c r="B128" s="101"/>
      <c r="C128" s="82"/>
      <c r="D128" s="82"/>
      <c r="E128" s="83"/>
      <c r="F128" s="83"/>
      <c r="G128" s="83"/>
      <c r="H128" s="84"/>
      <c r="I128" s="93"/>
      <c r="J128" s="94"/>
      <c r="K128" s="94"/>
      <c r="L128" s="95"/>
      <c r="M128" s="96"/>
      <c r="N128" s="83"/>
      <c r="O128" s="97"/>
      <c r="P128" s="83"/>
      <c r="Q128" s="81"/>
    </row>
    <row r="129" hidden="1" spans="1:17">
      <c r="A129" s="81"/>
      <c r="B129" s="101"/>
      <c r="C129" s="82"/>
      <c r="D129" s="82"/>
      <c r="E129" s="83"/>
      <c r="F129" s="83"/>
      <c r="G129" s="83"/>
      <c r="H129" s="84"/>
      <c r="I129" s="93"/>
      <c r="J129" s="94"/>
      <c r="K129" s="94"/>
      <c r="L129" s="95"/>
      <c r="M129" s="96"/>
      <c r="N129" s="83"/>
      <c r="O129" s="97"/>
      <c r="P129" s="83"/>
      <c r="Q129" s="81"/>
    </row>
    <row r="130" hidden="1" spans="1:17">
      <c r="A130" s="81"/>
      <c r="B130" s="101"/>
      <c r="C130" s="82"/>
      <c r="D130" s="82"/>
      <c r="E130" s="83"/>
      <c r="F130" s="83"/>
      <c r="G130" s="83"/>
      <c r="H130" s="84"/>
      <c r="I130" s="93"/>
      <c r="J130" s="94"/>
      <c r="K130" s="94"/>
      <c r="L130" s="95"/>
      <c r="M130" s="96"/>
      <c r="N130" s="83"/>
      <c r="O130" s="97"/>
      <c r="P130" s="83"/>
      <c r="Q130" s="81"/>
    </row>
    <row r="131" hidden="1" spans="1:17">
      <c r="A131" s="81"/>
      <c r="B131" s="101"/>
      <c r="C131" s="82"/>
      <c r="D131" s="82"/>
      <c r="E131" s="83"/>
      <c r="F131" s="83"/>
      <c r="G131" s="83"/>
      <c r="H131" s="84"/>
      <c r="I131" s="93"/>
      <c r="J131" s="94"/>
      <c r="K131" s="94"/>
      <c r="L131" s="95"/>
      <c r="M131" s="96"/>
      <c r="N131" s="83"/>
      <c r="O131" s="97"/>
      <c r="P131" s="83"/>
      <c r="Q131" s="81"/>
    </row>
    <row r="132" hidden="1" spans="1:17">
      <c r="A132" s="81"/>
      <c r="B132" s="101"/>
      <c r="C132" s="82"/>
      <c r="D132" s="82"/>
      <c r="E132" s="83"/>
      <c r="F132" s="83"/>
      <c r="G132" s="83"/>
      <c r="H132" s="84"/>
      <c r="I132" s="93"/>
      <c r="J132" s="94"/>
      <c r="K132" s="94"/>
      <c r="L132" s="95"/>
      <c r="M132" s="96"/>
      <c r="N132" s="83"/>
      <c r="O132" s="97"/>
      <c r="P132" s="83"/>
      <c r="Q132" s="81"/>
    </row>
    <row r="133" hidden="1" spans="1:17">
      <c r="A133" s="81"/>
      <c r="B133" s="101"/>
      <c r="C133" s="82"/>
      <c r="D133" s="82"/>
      <c r="E133" s="83"/>
      <c r="F133" s="83"/>
      <c r="G133" s="83"/>
      <c r="H133" s="84"/>
      <c r="I133" s="93"/>
      <c r="J133" s="94"/>
      <c r="K133" s="94"/>
      <c r="L133" s="95"/>
      <c r="M133" s="96"/>
      <c r="N133" s="83"/>
      <c r="O133" s="97"/>
      <c r="P133" s="83"/>
      <c r="Q133" s="81"/>
    </row>
    <row r="134" hidden="1" spans="1:17">
      <c r="A134" s="81"/>
      <c r="B134" s="101"/>
      <c r="C134" s="82"/>
      <c r="D134" s="82"/>
      <c r="E134" s="83"/>
      <c r="F134" s="83"/>
      <c r="G134" s="83"/>
      <c r="H134" s="84"/>
      <c r="I134" s="93"/>
      <c r="J134" s="94"/>
      <c r="K134" s="94"/>
      <c r="L134" s="95"/>
      <c r="M134" s="96"/>
      <c r="N134" s="83"/>
      <c r="O134" s="97"/>
      <c r="P134" s="83"/>
      <c r="Q134" s="81"/>
    </row>
    <row r="135" hidden="1" spans="1:17">
      <c r="A135" s="81"/>
      <c r="B135" s="101"/>
      <c r="C135" s="82"/>
      <c r="D135" s="82"/>
      <c r="E135" s="83"/>
      <c r="F135" s="83"/>
      <c r="G135" s="83"/>
      <c r="H135" s="84"/>
      <c r="I135" s="93"/>
      <c r="J135" s="94"/>
      <c r="K135" s="94"/>
      <c r="L135" s="95"/>
      <c r="M135" s="96"/>
      <c r="N135" s="83"/>
      <c r="O135" s="97"/>
      <c r="P135" s="83"/>
      <c r="Q135" s="81"/>
    </row>
    <row r="136" hidden="1" spans="1:17">
      <c r="A136" s="81"/>
      <c r="B136" s="101"/>
      <c r="C136" s="82"/>
      <c r="D136" s="82"/>
      <c r="E136" s="83"/>
      <c r="F136" s="83"/>
      <c r="G136" s="83"/>
      <c r="H136" s="84"/>
      <c r="I136" s="93"/>
      <c r="J136" s="94"/>
      <c r="K136" s="94"/>
      <c r="L136" s="95"/>
      <c r="M136" s="96"/>
      <c r="N136" s="83"/>
      <c r="O136" s="97"/>
      <c r="P136" s="83"/>
      <c r="Q136" s="81"/>
    </row>
    <row r="137" hidden="1" spans="1:17">
      <c r="A137" s="81"/>
      <c r="B137" s="101"/>
      <c r="C137" s="82"/>
      <c r="D137" s="82"/>
      <c r="E137" s="83"/>
      <c r="F137" s="83"/>
      <c r="G137" s="83"/>
      <c r="H137" s="84"/>
      <c r="I137" s="93"/>
      <c r="J137" s="94"/>
      <c r="K137" s="94"/>
      <c r="L137" s="95"/>
      <c r="M137" s="96"/>
      <c r="N137" s="83"/>
      <c r="O137" s="97"/>
      <c r="P137" s="83"/>
      <c r="Q137" s="81"/>
    </row>
    <row r="138" hidden="1" spans="1:17">
      <c r="A138" s="81"/>
      <c r="B138" s="101"/>
      <c r="C138" s="82"/>
      <c r="D138" s="82"/>
      <c r="E138" s="83"/>
      <c r="F138" s="83"/>
      <c r="G138" s="83"/>
      <c r="H138" s="84"/>
      <c r="I138" s="93"/>
      <c r="J138" s="94"/>
      <c r="K138" s="94"/>
      <c r="L138" s="95"/>
      <c r="M138" s="96"/>
      <c r="N138" s="83"/>
      <c r="O138" s="97"/>
      <c r="P138" s="83"/>
      <c r="Q138" s="81"/>
    </row>
    <row r="139" hidden="1" spans="1:17">
      <c r="A139" s="81"/>
      <c r="B139" s="101"/>
      <c r="C139" s="82"/>
      <c r="D139" s="82"/>
      <c r="E139" s="83"/>
      <c r="F139" s="83"/>
      <c r="G139" s="83"/>
      <c r="H139" s="84"/>
      <c r="I139" s="93"/>
      <c r="J139" s="94"/>
      <c r="K139" s="94"/>
      <c r="L139" s="95"/>
      <c r="M139" s="96"/>
      <c r="N139" s="83"/>
      <c r="O139" s="97"/>
      <c r="P139" s="83"/>
      <c r="Q139" s="81"/>
    </row>
  </sheetData>
  <autoFilter ref="A29:Q139">
    <filterColumn colId="1">
      <customFilters>
        <customFilter operator="equal" val="CL6"/>
      </customFilters>
    </filterColumn>
    <extLst/>
  </autoFilter>
  <mergeCells count="5">
    <mergeCell ref="A1:H1"/>
    <mergeCell ref="J1:M1"/>
    <mergeCell ref="J12:K12"/>
    <mergeCell ref="A14:J14"/>
    <mergeCell ref="A28:Q2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81"/>
  <sheetViews>
    <sheetView workbookViewId="0">
      <selection activeCell="M3" sqref="M3:M9"/>
    </sheetView>
  </sheetViews>
  <sheetFormatPr defaultColWidth="9.14285714285714" defaultRowHeight="15"/>
  <cols>
    <col min="1" max="1" width="13.1428571428571" customWidth="1"/>
    <col min="3" max="3" width="18.8571428571429" customWidth="1"/>
    <col min="5" max="5" width="14.5714285714286" customWidth="1"/>
    <col min="6" max="6" width="13.4285714285714" customWidth="1"/>
    <col min="7" max="7" width="12.5714285714286" customWidth="1"/>
    <col min="8" max="8" width="13" customWidth="1"/>
    <col min="9" max="9" width="13.8571428571429" customWidth="1"/>
    <col min="10" max="10" width="16.7142857142857" customWidth="1"/>
    <col min="11" max="11" width="22.5714285714286" customWidth="1"/>
    <col min="12" max="12" width="14.4285714285714" customWidth="1"/>
    <col min="13" max="13" width="17" customWidth="1"/>
  </cols>
  <sheetData>
    <row r="1" ht="19.5" spans="10:13">
      <c r="J1" s="55" t="s">
        <v>595</v>
      </c>
      <c r="K1" s="56"/>
      <c r="L1" s="56"/>
      <c r="M1" s="57"/>
    </row>
    <row r="2" ht="60" spans="1:13">
      <c r="A2" s="59" t="s">
        <v>6</v>
      </c>
      <c r="B2" s="60" t="s">
        <v>0</v>
      </c>
      <c r="C2" s="60" t="s">
        <v>1</v>
      </c>
      <c r="D2" s="29" t="s">
        <v>481</v>
      </c>
      <c r="E2" s="30" t="s">
        <v>482</v>
      </c>
      <c r="F2" s="29" t="s">
        <v>483</v>
      </c>
      <c r="G2" s="29" t="s">
        <v>484</v>
      </c>
      <c r="H2" s="30" t="s">
        <v>485</v>
      </c>
      <c r="J2" s="106" t="s">
        <v>486</v>
      </c>
      <c r="K2" s="107" t="s">
        <v>487</v>
      </c>
      <c r="L2" s="107" t="s">
        <v>488</v>
      </c>
      <c r="M2" s="87" t="s">
        <v>489</v>
      </c>
    </row>
    <row r="3" spans="1:13">
      <c r="A3" s="61" t="s">
        <v>596</v>
      </c>
      <c r="B3" s="62" t="s">
        <v>366</v>
      </c>
      <c r="C3" s="62" t="s">
        <v>367</v>
      </c>
      <c r="D3" s="1">
        <v>87</v>
      </c>
      <c r="E3" s="33">
        <v>68</v>
      </c>
      <c r="F3" s="1">
        <v>34</v>
      </c>
      <c r="G3" s="1">
        <v>15</v>
      </c>
      <c r="H3" s="33">
        <v>19</v>
      </c>
      <c r="J3" s="53">
        <v>20.0203409090909</v>
      </c>
      <c r="K3" s="1">
        <v>12</v>
      </c>
      <c r="L3" s="108">
        <v>33</v>
      </c>
      <c r="M3" s="109">
        <v>23</v>
      </c>
    </row>
    <row r="4" spans="1:13">
      <c r="A4" s="61" t="s">
        <v>596</v>
      </c>
      <c r="B4" s="62" t="s">
        <v>379</v>
      </c>
      <c r="C4" s="62" t="s">
        <v>380</v>
      </c>
      <c r="D4" s="1">
        <v>31</v>
      </c>
      <c r="E4" s="33">
        <v>23</v>
      </c>
      <c r="F4" s="1">
        <v>7</v>
      </c>
      <c r="G4" s="1">
        <v>11</v>
      </c>
      <c r="H4" s="33">
        <v>5</v>
      </c>
      <c r="J4" s="53">
        <v>7.55333333333333</v>
      </c>
      <c r="K4" s="1">
        <v>9</v>
      </c>
      <c r="L4" s="108">
        <v>5</v>
      </c>
      <c r="M4" s="109">
        <v>9</v>
      </c>
    </row>
    <row r="5" spans="1:13">
      <c r="A5" s="61" t="s">
        <v>596</v>
      </c>
      <c r="B5" s="62" t="s">
        <v>396</v>
      </c>
      <c r="C5" s="62" t="s">
        <v>397</v>
      </c>
      <c r="D5" s="1">
        <v>70</v>
      </c>
      <c r="E5" s="33">
        <v>56</v>
      </c>
      <c r="F5" s="1">
        <v>32</v>
      </c>
      <c r="G5" s="1">
        <v>12</v>
      </c>
      <c r="H5" s="33">
        <v>12</v>
      </c>
      <c r="J5" s="53">
        <v>38.6494886363636</v>
      </c>
      <c r="K5" s="1">
        <v>12</v>
      </c>
      <c r="L5" s="108">
        <v>1</v>
      </c>
      <c r="M5" s="109">
        <v>43</v>
      </c>
    </row>
    <row r="6" spans="1:13">
      <c r="A6" s="61" t="s">
        <v>596</v>
      </c>
      <c r="B6" s="62" t="s">
        <v>428</v>
      </c>
      <c r="C6" s="62" t="s">
        <v>429</v>
      </c>
      <c r="D6" s="1">
        <v>47</v>
      </c>
      <c r="E6" s="33">
        <v>36</v>
      </c>
      <c r="F6" s="1">
        <v>8</v>
      </c>
      <c r="G6" s="1">
        <v>5</v>
      </c>
      <c r="H6" s="33">
        <v>23</v>
      </c>
      <c r="J6" s="53">
        <v>17.5115340909091</v>
      </c>
      <c r="K6" s="1">
        <v>12</v>
      </c>
      <c r="L6" s="108">
        <v>4</v>
      </c>
      <c r="M6" s="109">
        <v>20</v>
      </c>
    </row>
    <row r="7" spans="1:13">
      <c r="A7" s="61" t="s">
        <v>596</v>
      </c>
      <c r="B7" s="62" t="s">
        <v>443</v>
      </c>
      <c r="C7" s="62" t="s">
        <v>444</v>
      </c>
      <c r="D7" s="1">
        <v>30</v>
      </c>
      <c r="E7" s="33">
        <v>22</v>
      </c>
      <c r="F7" s="1">
        <v>15</v>
      </c>
      <c r="G7" s="1">
        <v>3</v>
      </c>
      <c r="H7" s="33">
        <v>4</v>
      </c>
      <c r="J7" s="53">
        <v>11.0765340909091</v>
      </c>
      <c r="K7" s="1">
        <v>6</v>
      </c>
      <c r="L7" s="108">
        <v>3</v>
      </c>
      <c r="M7" s="109">
        <v>13</v>
      </c>
    </row>
    <row r="8" spans="1:13">
      <c r="A8" s="61" t="s">
        <v>596</v>
      </c>
      <c r="B8" s="62" t="s">
        <v>456</v>
      </c>
      <c r="C8" s="62" t="s">
        <v>457</v>
      </c>
      <c r="D8" s="1">
        <v>9</v>
      </c>
      <c r="E8" s="33">
        <v>6</v>
      </c>
      <c r="F8" s="1">
        <v>0</v>
      </c>
      <c r="G8" s="1">
        <v>0</v>
      </c>
      <c r="H8" s="33">
        <v>6</v>
      </c>
      <c r="J8" s="53">
        <v>7.34829545454546</v>
      </c>
      <c r="K8" s="1">
        <v>2</v>
      </c>
      <c r="L8" s="108">
        <v>-4</v>
      </c>
      <c r="M8" s="109">
        <v>8</v>
      </c>
    </row>
    <row r="9" spans="1:13">
      <c r="A9" s="64" t="s">
        <v>596</v>
      </c>
      <c r="B9" s="65" t="s">
        <v>468</v>
      </c>
      <c r="C9" s="65" t="s">
        <v>469</v>
      </c>
      <c r="D9" s="16">
        <v>17</v>
      </c>
      <c r="E9" s="37">
        <v>13</v>
      </c>
      <c r="F9" s="16">
        <v>6</v>
      </c>
      <c r="G9" s="16">
        <v>2</v>
      </c>
      <c r="H9" s="37">
        <v>5</v>
      </c>
      <c r="J9" s="53">
        <v>6.33418560606061</v>
      </c>
      <c r="K9" s="16">
        <v>2</v>
      </c>
      <c r="L9" s="108">
        <v>4</v>
      </c>
      <c r="M9" s="110">
        <v>7</v>
      </c>
    </row>
    <row r="10" spans="10:12">
      <c r="J10" s="111" t="s">
        <v>490</v>
      </c>
      <c r="K10" s="112"/>
      <c r="L10" s="113">
        <v>46</v>
      </c>
    </row>
    <row r="12" ht="15.75"/>
    <row r="13" ht="21.75" spans="1:10">
      <c r="A13" s="25" t="s">
        <v>491</v>
      </c>
      <c r="B13" s="26"/>
      <c r="C13" s="26"/>
      <c r="D13" s="26"/>
      <c r="E13" s="26"/>
      <c r="F13" s="26"/>
      <c r="G13" s="26"/>
      <c r="H13" s="26"/>
      <c r="I13" s="26"/>
      <c r="J13" s="27"/>
    </row>
    <row r="14" ht="60" spans="1:10">
      <c r="A14" s="59" t="s">
        <v>6</v>
      </c>
      <c r="B14" s="60" t="s">
        <v>0</v>
      </c>
      <c r="C14" s="60" t="s">
        <v>1</v>
      </c>
      <c r="D14" s="60" t="s">
        <v>492</v>
      </c>
      <c r="E14" s="60" t="s">
        <v>493</v>
      </c>
      <c r="F14" s="60" t="s">
        <v>494</v>
      </c>
      <c r="G14" s="60" t="s">
        <v>495</v>
      </c>
      <c r="H14" s="29" t="s">
        <v>496</v>
      </c>
      <c r="I14" s="29" t="s">
        <v>497</v>
      </c>
      <c r="J14" s="30" t="s">
        <v>498</v>
      </c>
    </row>
    <row r="15" spans="1:10">
      <c r="A15" s="61" t="s">
        <v>596</v>
      </c>
      <c r="B15" s="62" t="s">
        <v>366</v>
      </c>
      <c r="C15" s="62" t="s">
        <v>367</v>
      </c>
      <c r="D15" s="68">
        <v>52728</v>
      </c>
      <c r="E15" s="69">
        <v>36909.6</v>
      </c>
      <c r="F15" s="69">
        <v>15818.4</v>
      </c>
      <c r="G15" s="70">
        <v>89889</v>
      </c>
      <c r="H15" s="69">
        <v>1677.70909090909</v>
      </c>
      <c r="I15" s="69">
        <v>719.018181818182</v>
      </c>
      <c r="J15" s="91">
        <v>4085.86363636364</v>
      </c>
    </row>
    <row r="16" spans="1:10">
      <c r="A16" s="61" t="s">
        <v>596</v>
      </c>
      <c r="B16" s="62" t="s">
        <v>379</v>
      </c>
      <c r="C16" s="62" t="s">
        <v>380</v>
      </c>
      <c r="D16" s="68">
        <v>31012</v>
      </c>
      <c r="E16" s="69">
        <v>21708.4</v>
      </c>
      <c r="F16" s="69">
        <v>9303.6</v>
      </c>
      <c r="G16" s="70">
        <v>30578</v>
      </c>
      <c r="H16" s="69">
        <v>986.745454545455</v>
      </c>
      <c r="I16" s="69">
        <v>422.890909090909</v>
      </c>
      <c r="J16" s="91">
        <v>1389.90909090909</v>
      </c>
    </row>
    <row r="17" spans="1:10">
      <c r="A17" s="61" t="s">
        <v>596</v>
      </c>
      <c r="B17" s="62" t="s">
        <v>396</v>
      </c>
      <c r="C17" s="62" t="s">
        <v>397</v>
      </c>
      <c r="D17" s="68">
        <v>95418</v>
      </c>
      <c r="E17" s="69">
        <v>16093.7</v>
      </c>
      <c r="F17" s="69">
        <v>79324.3</v>
      </c>
      <c r="G17" s="70">
        <v>124745</v>
      </c>
      <c r="H17" s="69">
        <v>731.531818181818</v>
      </c>
      <c r="I17" s="69">
        <v>3605.65</v>
      </c>
      <c r="J17" s="91">
        <v>5670.22727272727</v>
      </c>
    </row>
    <row r="18" spans="1:10">
      <c r="A18" s="61" t="s">
        <v>596</v>
      </c>
      <c r="B18" s="62" t="s">
        <v>428</v>
      </c>
      <c r="C18" s="62" t="s">
        <v>429</v>
      </c>
      <c r="D18" s="68">
        <v>39973</v>
      </c>
      <c r="E18" s="69">
        <v>27981.1</v>
      </c>
      <c r="F18" s="69">
        <v>11991.9</v>
      </c>
      <c r="G18" s="70">
        <v>80469</v>
      </c>
      <c r="H18" s="69">
        <v>1271.86818181818</v>
      </c>
      <c r="I18" s="69">
        <v>545.086363636364</v>
      </c>
      <c r="J18" s="91">
        <v>3657.68181818182</v>
      </c>
    </row>
    <row r="19" spans="1:10">
      <c r="A19" s="61" t="s">
        <v>596</v>
      </c>
      <c r="B19" s="62" t="s">
        <v>443</v>
      </c>
      <c r="C19" s="62" t="s">
        <v>444</v>
      </c>
      <c r="D19" s="68">
        <v>17297</v>
      </c>
      <c r="E19" s="69">
        <v>12107.9</v>
      </c>
      <c r="F19" s="69">
        <v>5189.1</v>
      </c>
      <c r="G19" s="70">
        <v>53295</v>
      </c>
      <c r="H19" s="69">
        <v>550.359090909091</v>
      </c>
      <c r="I19" s="69">
        <v>235.868181818182</v>
      </c>
      <c r="J19" s="91">
        <v>2422.5</v>
      </c>
    </row>
    <row r="20" spans="1:10">
      <c r="A20" s="61" t="s">
        <v>596</v>
      </c>
      <c r="B20" s="62" t="s">
        <v>456</v>
      </c>
      <c r="C20" s="62" t="s">
        <v>457</v>
      </c>
      <c r="D20" s="68">
        <v>22000</v>
      </c>
      <c r="E20" s="69">
        <v>15400</v>
      </c>
      <c r="F20" s="69">
        <v>6600</v>
      </c>
      <c r="G20" s="70">
        <v>32199</v>
      </c>
      <c r="H20" s="69">
        <v>700</v>
      </c>
      <c r="I20" s="69">
        <v>300</v>
      </c>
      <c r="J20" s="91">
        <v>1463.59090909091</v>
      </c>
    </row>
    <row r="21" ht="15.75" spans="1:10">
      <c r="A21" s="64" t="s">
        <v>596</v>
      </c>
      <c r="B21" s="65" t="s">
        <v>468</v>
      </c>
      <c r="C21" s="65" t="s">
        <v>469</v>
      </c>
      <c r="D21" s="72">
        <v>7305</v>
      </c>
      <c r="E21" s="73">
        <v>5113.5</v>
      </c>
      <c r="F21" s="73">
        <v>2191.5</v>
      </c>
      <c r="G21" s="74">
        <v>31253</v>
      </c>
      <c r="H21" s="73">
        <v>232.431818181818</v>
      </c>
      <c r="I21" s="73">
        <v>99.6136363636364</v>
      </c>
      <c r="J21" s="92">
        <v>1420.59090909091</v>
      </c>
    </row>
    <row r="24" ht="15.75"/>
    <row r="25" ht="21.75" spans="1:17">
      <c r="A25" s="75" t="s">
        <v>499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99"/>
    </row>
    <row r="26" ht="60.75" spans="1:17">
      <c r="A26" s="102" t="s">
        <v>597</v>
      </c>
      <c r="B26" s="103" t="s">
        <v>598</v>
      </c>
      <c r="C26" s="104" t="s">
        <v>501</v>
      </c>
      <c r="D26" s="104" t="s">
        <v>502</v>
      </c>
      <c r="E26" s="104" t="s">
        <v>503</v>
      </c>
      <c r="F26" s="103" t="s">
        <v>504</v>
      </c>
      <c r="G26" s="103" t="s">
        <v>505</v>
      </c>
      <c r="H26" s="105" t="s">
        <v>599</v>
      </c>
      <c r="I26" s="105" t="s">
        <v>507</v>
      </c>
      <c r="J26" s="105" t="s">
        <v>508</v>
      </c>
      <c r="K26" s="105" t="s">
        <v>509</v>
      </c>
      <c r="L26" s="105" t="s">
        <v>510</v>
      </c>
      <c r="M26" s="104" t="s">
        <v>600</v>
      </c>
      <c r="N26" s="104" t="s">
        <v>512</v>
      </c>
      <c r="O26" s="104" t="s">
        <v>601</v>
      </c>
      <c r="P26" s="104" t="s">
        <v>602</v>
      </c>
      <c r="Q26" s="114" t="s">
        <v>514</v>
      </c>
    </row>
    <row r="27" spans="1:17">
      <c r="A27" s="81" t="s">
        <v>596</v>
      </c>
      <c r="B27" s="101" t="s">
        <v>603</v>
      </c>
      <c r="C27" s="82" t="s">
        <v>604</v>
      </c>
      <c r="D27" s="82" t="s">
        <v>605</v>
      </c>
      <c r="E27" s="83" t="s">
        <v>606</v>
      </c>
      <c r="F27" s="83" t="s">
        <v>535</v>
      </c>
      <c r="G27" s="83" t="s">
        <v>530</v>
      </c>
      <c r="H27" s="84">
        <v>0.0770712909441233</v>
      </c>
      <c r="I27" s="93">
        <v>0.0840157353885678</v>
      </c>
      <c r="J27" s="94">
        <v>0.00694444444444444</v>
      </c>
      <c r="K27" s="94" t="s">
        <v>522</v>
      </c>
      <c r="L27" s="95">
        <v>0.18123795761079</v>
      </c>
      <c r="M27" s="96">
        <v>301</v>
      </c>
      <c r="N27" s="83">
        <v>301</v>
      </c>
      <c r="O27" s="97" t="s">
        <v>607</v>
      </c>
      <c r="P27" s="83" t="s">
        <v>608</v>
      </c>
      <c r="Q27" s="81" t="s">
        <v>609</v>
      </c>
    </row>
    <row r="28" hidden="1" spans="1:17">
      <c r="A28" s="81" t="s">
        <v>596</v>
      </c>
      <c r="B28" s="101" t="s">
        <v>456</v>
      </c>
      <c r="C28" s="82" t="s">
        <v>604</v>
      </c>
      <c r="D28" s="82" t="s">
        <v>610</v>
      </c>
      <c r="E28" s="83" t="s">
        <v>606</v>
      </c>
      <c r="F28" s="83"/>
      <c r="G28" s="83" t="s">
        <v>530</v>
      </c>
      <c r="H28" s="84">
        <v>0.950874485596708</v>
      </c>
      <c r="I28" s="93">
        <v>0.95434670781893</v>
      </c>
      <c r="J28" s="94">
        <v>0.00347222222222222</v>
      </c>
      <c r="K28" s="94" t="s">
        <v>522</v>
      </c>
      <c r="L28" s="95">
        <v>0.0828189300411523</v>
      </c>
      <c r="M28" s="96">
        <v>161</v>
      </c>
      <c r="N28" s="83">
        <v>161</v>
      </c>
      <c r="O28" s="97" t="s">
        <v>611</v>
      </c>
      <c r="P28" s="83" t="s">
        <v>414</v>
      </c>
      <c r="Q28" s="81" t="s">
        <v>609</v>
      </c>
    </row>
    <row r="29" hidden="1" spans="1:17">
      <c r="A29" s="81" t="s">
        <v>596</v>
      </c>
      <c r="B29" s="101" t="s">
        <v>603</v>
      </c>
      <c r="C29" s="82" t="s">
        <v>604</v>
      </c>
      <c r="D29" s="82" t="s">
        <v>610</v>
      </c>
      <c r="E29" s="83" t="s">
        <v>606</v>
      </c>
      <c r="F29" s="83"/>
      <c r="G29" s="83" t="s">
        <v>530</v>
      </c>
      <c r="H29" s="84">
        <v>0.0878937163659386</v>
      </c>
      <c r="I29" s="93">
        <v>0.0913659385881608</v>
      </c>
      <c r="J29" s="94">
        <v>0.00347222222222222</v>
      </c>
      <c r="K29" s="94" t="s">
        <v>522</v>
      </c>
      <c r="L29" s="95">
        <v>0.133547008547009</v>
      </c>
      <c r="M29" s="96">
        <v>275</v>
      </c>
      <c r="N29" s="83">
        <v>436</v>
      </c>
      <c r="O29" s="97" t="s">
        <v>607</v>
      </c>
      <c r="P29" s="83" t="s">
        <v>608</v>
      </c>
      <c r="Q29" s="81" t="s">
        <v>609</v>
      </c>
    </row>
    <row r="30" hidden="1" spans="1:17">
      <c r="A30" s="81" t="s">
        <v>596</v>
      </c>
      <c r="B30" s="101" t="s">
        <v>351</v>
      </c>
      <c r="C30" s="82" t="s">
        <v>604</v>
      </c>
      <c r="D30" s="82" t="s">
        <v>605</v>
      </c>
      <c r="E30" s="82" t="s">
        <v>576</v>
      </c>
      <c r="F30" s="83" t="s">
        <v>535</v>
      </c>
      <c r="G30" s="83" t="s">
        <v>530</v>
      </c>
      <c r="H30" s="84">
        <v>0.0770712909441233</v>
      </c>
      <c r="I30" s="93">
        <v>0.0840157353885678</v>
      </c>
      <c r="J30" s="94">
        <v>0.00694444444444444</v>
      </c>
      <c r="K30" s="94" t="s">
        <v>522</v>
      </c>
      <c r="L30" s="95">
        <v>0.18123795761079</v>
      </c>
      <c r="M30" s="96">
        <v>301</v>
      </c>
      <c r="N30" s="83">
        <v>301</v>
      </c>
      <c r="O30" s="97" t="s">
        <v>352</v>
      </c>
      <c r="P30" s="83" t="s">
        <v>608</v>
      </c>
      <c r="Q30" s="81" t="s">
        <v>609</v>
      </c>
    </row>
    <row r="31" spans="1:17">
      <c r="A31" s="81" t="s">
        <v>596</v>
      </c>
      <c r="B31" s="101" t="s">
        <v>456</v>
      </c>
      <c r="C31" s="82" t="s">
        <v>604</v>
      </c>
      <c r="D31" s="82" t="s">
        <v>610</v>
      </c>
      <c r="E31" s="82" t="s">
        <v>576</v>
      </c>
      <c r="F31" s="83"/>
      <c r="G31" s="83" t="s">
        <v>530</v>
      </c>
      <c r="H31" s="84">
        <v>0.950874485596708</v>
      </c>
      <c r="I31" s="93">
        <v>0.95434670781893</v>
      </c>
      <c r="J31" s="94">
        <v>0.00347222222222222</v>
      </c>
      <c r="K31" s="94" t="s">
        <v>522</v>
      </c>
      <c r="L31" s="95">
        <v>0.0828189300411523</v>
      </c>
      <c r="M31" s="96">
        <v>161</v>
      </c>
      <c r="N31" s="83">
        <v>161</v>
      </c>
      <c r="O31" s="97" t="s">
        <v>611</v>
      </c>
      <c r="P31" s="83" t="s">
        <v>414</v>
      </c>
      <c r="Q31" s="81" t="s">
        <v>609</v>
      </c>
    </row>
    <row r="32" spans="1:17">
      <c r="A32" s="81" t="s">
        <v>596</v>
      </c>
      <c r="B32" s="101" t="s">
        <v>351</v>
      </c>
      <c r="C32" s="82" t="s">
        <v>604</v>
      </c>
      <c r="D32" s="82" t="s">
        <v>610</v>
      </c>
      <c r="E32" s="82" t="s">
        <v>576</v>
      </c>
      <c r="F32" s="83"/>
      <c r="G32" s="83" t="s">
        <v>530</v>
      </c>
      <c r="H32" s="84">
        <v>0.0878937163659386</v>
      </c>
      <c r="I32" s="93">
        <v>0.0913659385881608</v>
      </c>
      <c r="J32" s="94">
        <v>0.00347222222222222</v>
      </c>
      <c r="K32" s="94" t="s">
        <v>522</v>
      </c>
      <c r="L32" s="95">
        <v>0.133547008547009</v>
      </c>
      <c r="M32" s="96">
        <v>275</v>
      </c>
      <c r="N32" s="83">
        <v>436</v>
      </c>
      <c r="O32" s="97" t="s">
        <v>352</v>
      </c>
      <c r="P32" s="83" t="s">
        <v>608</v>
      </c>
      <c r="Q32" s="81" t="s">
        <v>609</v>
      </c>
    </row>
    <row r="33" spans="1:17">
      <c r="A33" s="81" t="s">
        <v>596</v>
      </c>
      <c r="B33" s="101" t="s">
        <v>351</v>
      </c>
      <c r="C33" s="82" t="s">
        <v>612</v>
      </c>
      <c r="D33" s="82" t="s">
        <v>613</v>
      </c>
      <c r="E33" s="83" t="s">
        <v>529</v>
      </c>
      <c r="F33" s="83"/>
      <c r="G33" s="83" t="s">
        <v>530</v>
      </c>
      <c r="H33" s="84">
        <v>0.125</v>
      </c>
      <c r="I33" s="93">
        <v>0.166666666666667</v>
      </c>
      <c r="J33" s="94">
        <v>0.0416666666666667</v>
      </c>
      <c r="K33" s="94" t="s">
        <v>522</v>
      </c>
      <c r="L33" s="95"/>
      <c r="M33" s="96"/>
      <c r="N33" s="83"/>
      <c r="O33" s="97" t="s">
        <v>352</v>
      </c>
      <c r="P33" s="83" t="s">
        <v>608</v>
      </c>
      <c r="Q33" s="81" t="s">
        <v>521</v>
      </c>
    </row>
    <row r="34" hidden="1" spans="1:17">
      <c r="A34" s="81" t="s">
        <v>596</v>
      </c>
      <c r="B34" s="101" t="s">
        <v>614</v>
      </c>
      <c r="C34" s="82" t="s">
        <v>615</v>
      </c>
      <c r="D34" s="82" t="s">
        <v>616</v>
      </c>
      <c r="E34" s="83" t="s">
        <v>606</v>
      </c>
      <c r="F34" s="83" t="s">
        <v>535</v>
      </c>
      <c r="G34" s="83" t="s">
        <v>530</v>
      </c>
      <c r="H34" s="84">
        <v>0.0625</v>
      </c>
      <c r="I34" s="93">
        <v>0.0833333333333333</v>
      </c>
      <c r="J34" s="94">
        <v>0.0208333333333333</v>
      </c>
      <c r="K34" s="94" t="s">
        <v>522</v>
      </c>
      <c r="L34" s="95">
        <v>0.186764705882353</v>
      </c>
      <c r="M34" s="96">
        <v>361</v>
      </c>
      <c r="N34" s="83">
        <v>404.6</v>
      </c>
      <c r="O34" s="97" t="s">
        <v>413</v>
      </c>
      <c r="P34" s="83" t="s">
        <v>413</v>
      </c>
      <c r="Q34" s="81" t="s">
        <v>609</v>
      </c>
    </row>
    <row r="35" hidden="1" spans="1:17">
      <c r="A35" s="81" t="s">
        <v>596</v>
      </c>
      <c r="B35" s="101" t="s">
        <v>456</v>
      </c>
      <c r="C35" s="82" t="s">
        <v>615</v>
      </c>
      <c r="D35" s="82" t="s">
        <v>616</v>
      </c>
      <c r="E35" s="83" t="s">
        <v>606</v>
      </c>
      <c r="F35" s="83" t="s">
        <v>535</v>
      </c>
      <c r="G35" s="83" t="s">
        <v>530</v>
      </c>
      <c r="H35" s="84">
        <v>0.164444444444444</v>
      </c>
      <c r="I35" s="93">
        <v>0.174861111111111</v>
      </c>
      <c r="J35" s="94">
        <v>0.0104166666666667</v>
      </c>
      <c r="K35" s="94" t="s">
        <v>522</v>
      </c>
      <c r="L35" s="95">
        <v>0.0776041666666667</v>
      </c>
      <c r="M35" s="96">
        <v>139</v>
      </c>
      <c r="N35" s="83">
        <v>543.6</v>
      </c>
      <c r="O35" s="97" t="s">
        <v>617</v>
      </c>
      <c r="P35" s="83" t="s">
        <v>617</v>
      </c>
      <c r="Q35" s="81" t="s">
        <v>609</v>
      </c>
    </row>
    <row r="36" hidden="1" spans="1:17">
      <c r="A36" s="81" t="s">
        <v>596</v>
      </c>
      <c r="B36" s="101" t="s">
        <v>618</v>
      </c>
      <c r="C36" s="82" t="s">
        <v>615</v>
      </c>
      <c r="D36" s="82" t="s">
        <v>619</v>
      </c>
      <c r="E36" s="83" t="s">
        <v>606</v>
      </c>
      <c r="F36" s="83" t="s">
        <v>535</v>
      </c>
      <c r="G36" s="83"/>
      <c r="H36" s="84">
        <v>0.963739106753812</v>
      </c>
      <c r="I36" s="93">
        <v>0.970683551198257</v>
      </c>
      <c r="J36" s="94">
        <v>0.00694444444444444</v>
      </c>
      <c r="K36" s="94" t="s">
        <v>522</v>
      </c>
      <c r="L36" s="95">
        <v>0.0402153558052434</v>
      </c>
      <c r="M36" s="96">
        <v>85.9</v>
      </c>
      <c r="N36" s="83">
        <v>261.5</v>
      </c>
      <c r="O36" s="97" t="s">
        <v>620</v>
      </c>
      <c r="P36" s="83" t="s">
        <v>608</v>
      </c>
      <c r="Q36" s="81" t="s">
        <v>609</v>
      </c>
    </row>
    <row r="37" spans="1:17">
      <c r="A37" s="81" t="s">
        <v>596</v>
      </c>
      <c r="B37" s="101" t="s">
        <v>621</v>
      </c>
      <c r="C37" s="82" t="s">
        <v>615</v>
      </c>
      <c r="D37" s="82" t="s">
        <v>619</v>
      </c>
      <c r="E37" s="83" t="s">
        <v>606</v>
      </c>
      <c r="F37" s="83" t="s">
        <v>535</v>
      </c>
      <c r="G37" s="83" t="s">
        <v>530</v>
      </c>
      <c r="H37" s="84">
        <v>1.05159440391144</v>
      </c>
      <c r="I37" s="93">
        <v>0.0694444444444444</v>
      </c>
      <c r="J37" s="94">
        <v>0.0180555555555556</v>
      </c>
      <c r="K37" s="94" t="s">
        <v>522</v>
      </c>
      <c r="L37" s="95">
        <v>0.0809659090909091</v>
      </c>
      <c r="M37" s="96">
        <v>171</v>
      </c>
      <c r="N37" s="83">
        <v>432.5</v>
      </c>
      <c r="O37" s="97" t="s">
        <v>622</v>
      </c>
      <c r="P37" s="83" t="s">
        <v>608</v>
      </c>
      <c r="Q37" s="81" t="s">
        <v>609</v>
      </c>
    </row>
    <row r="38" spans="1:17">
      <c r="A38" s="81" t="s">
        <v>596</v>
      </c>
      <c r="B38" s="101" t="s">
        <v>623</v>
      </c>
      <c r="C38" s="82" t="s">
        <v>615</v>
      </c>
      <c r="D38" s="82" t="s">
        <v>619</v>
      </c>
      <c r="E38" s="83" t="s">
        <v>606</v>
      </c>
      <c r="F38" s="83" t="s">
        <v>535</v>
      </c>
      <c r="G38" s="83" t="s">
        <v>530</v>
      </c>
      <c r="H38" s="84">
        <v>0.119444444444444</v>
      </c>
      <c r="I38" s="93">
        <v>0.126388888888889</v>
      </c>
      <c r="J38" s="94">
        <v>0.00694444444444444</v>
      </c>
      <c r="K38" s="94" t="s">
        <v>522</v>
      </c>
      <c r="L38" s="95">
        <v>0.0501893939393939</v>
      </c>
      <c r="M38" s="96">
        <v>106</v>
      </c>
      <c r="N38" s="83">
        <v>538.5</v>
      </c>
      <c r="O38" s="97" t="s">
        <v>624</v>
      </c>
      <c r="P38" s="83" t="s">
        <v>608</v>
      </c>
      <c r="Q38" s="81" t="s">
        <v>609</v>
      </c>
    </row>
    <row r="39" spans="1:17">
      <c r="A39" s="81" t="s">
        <v>596</v>
      </c>
      <c r="B39" s="101" t="s">
        <v>618</v>
      </c>
      <c r="C39" s="82" t="s">
        <v>615</v>
      </c>
      <c r="D39" s="82" t="s">
        <v>619</v>
      </c>
      <c r="E39" s="83" t="s">
        <v>606</v>
      </c>
      <c r="F39" s="83"/>
      <c r="G39" s="83" t="s">
        <v>530</v>
      </c>
      <c r="H39" s="84">
        <v>0.159232026143791</v>
      </c>
      <c r="I39" s="93">
        <v>0.166176470588235</v>
      </c>
      <c r="J39" s="94">
        <v>0.00694444444444444</v>
      </c>
      <c r="K39" s="94" t="s">
        <v>522</v>
      </c>
      <c r="L39" s="95">
        <v>0.0325925925925926</v>
      </c>
      <c r="M39" s="96">
        <v>70.4</v>
      </c>
      <c r="N39" s="83">
        <v>608.9</v>
      </c>
      <c r="O39" s="97" t="s">
        <v>620</v>
      </c>
      <c r="P39" s="83" t="s">
        <v>608</v>
      </c>
      <c r="Q39" s="81" t="s">
        <v>609</v>
      </c>
    </row>
    <row r="40" hidden="1" spans="1:17">
      <c r="A40" s="81" t="s">
        <v>596</v>
      </c>
      <c r="B40" s="101" t="s">
        <v>625</v>
      </c>
      <c r="C40" s="82" t="s">
        <v>615</v>
      </c>
      <c r="D40" s="82" t="s">
        <v>619</v>
      </c>
      <c r="E40" s="83" t="s">
        <v>606</v>
      </c>
      <c r="F40" s="83"/>
      <c r="G40" s="83" t="s">
        <v>530</v>
      </c>
      <c r="H40" s="84">
        <v>0.206862745098039</v>
      </c>
      <c r="I40" s="93">
        <v>0.213807189542484</v>
      </c>
      <c r="J40" s="94">
        <v>0.00694444444444444</v>
      </c>
      <c r="K40" s="94" t="s">
        <v>522</v>
      </c>
      <c r="L40" s="95">
        <v>0.0402621722846442</v>
      </c>
      <c r="M40" s="96">
        <v>86</v>
      </c>
      <c r="N40" s="83">
        <v>694.9</v>
      </c>
      <c r="O40" s="97" t="s">
        <v>626</v>
      </c>
      <c r="P40" s="83" t="s">
        <v>608</v>
      </c>
      <c r="Q40" s="81" t="s">
        <v>609</v>
      </c>
    </row>
    <row r="41" hidden="1" spans="1:17">
      <c r="A41" s="81" t="s">
        <v>596</v>
      </c>
      <c r="B41" s="101" t="s">
        <v>627</v>
      </c>
      <c r="C41" s="82" t="s">
        <v>615</v>
      </c>
      <c r="D41" s="82" t="s">
        <v>628</v>
      </c>
      <c r="E41" s="83" t="s">
        <v>606</v>
      </c>
      <c r="F41" s="83" t="s">
        <v>535</v>
      </c>
      <c r="G41" s="83"/>
      <c r="H41" s="84">
        <v>0.965711805555555</v>
      </c>
      <c r="I41" s="93">
        <v>0.97265625</v>
      </c>
      <c r="J41" s="94">
        <v>0.00694444444444444</v>
      </c>
      <c r="K41" s="94" t="s">
        <v>522</v>
      </c>
      <c r="L41" s="95">
        <v>0.0828947368421053</v>
      </c>
      <c r="M41" s="96">
        <v>184</v>
      </c>
      <c r="N41" s="83">
        <v>184</v>
      </c>
      <c r="O41" s="97" t="s">
        <v>629</v>
      </c>
      <c r="P41" s="83" t="s">
        <v>608</v>
      </c>
      <c r="Q41" s="81" t="s">
        <v>609</v>
      </c>
    </row>
    <row r="42" hidden="1" spans="1:17">
      <c r="A42" s="81" t="s">
        <v>596</v>
      </c>
      <c r="B42" s="101" t="s">
        <v>603</v>
      </c>
      <c r="C42" s="82" t="s">
        <v>615</v>
      </c>
      <c r="D42" s="82" t="s">
        <v>628</v>
      </c>
      <c r="E42" s="83" t="s">
        <v>606</v>
      </c>
      <c r="F42" s="83" t="s">
        <v>535</v>
      </c>
      <c r="G42" s="83"/>
      <c r="H42" s="84">
        <v>0.0644355292792791</v>
      </c>
      <c r="I42" s="93">
        <v>0.0833333333333333</v>
      </c>
      <c r="J42" s="94">
        <v>0.00694444444444444</v>
      </c>
      <c r="K42" s="94" t="s">
        <v>522</v>
      </c>
      <c r="L42" s="95">
        <v>0.0854166666666667</v>
      </c>
      <c r="M42" s="96">
        <v>164</v>
      </c>
      <c r="N42" s="83">
        <v>348</v>
      </c>
      <c r="O42" s="97" t="s">
        <v>630</v>
      </c>
      <c r="P42" s="83" t="s">
        <v>608</v>
      </c>
      <c r="Q42" s="81" t="s">
        <v>609</v>
      </c>
    </row>
    <row r="43" hidden="1" spans="1:17">
      <c r="A43" s="81" t="s">
        <v>596</v>
      </c>
      <c r="B43" s="101" t="s">
        <v>621</v>
      </c>
      <c r="C43" s="82" t="s">
        <v>615</v>
      </c>
      <c r="D43" s="82" t="s">
        <v>628</v>
      </c>
      <c r="E43" s="83" t="s">
        <v>578</v>
      </c>
      <c r="F43" s="83"/>
      <c r="G43" s="83" t="s">
        <v>530</v>
      </c>
      <c r="H43" s="84">
        <v>0.0625</v>
      </c>
      <c r="I43" s="93">
        <v>0.0694444444444444</v>
      </c>
      <c r="J43" s="94">
        <v>0.00347222222222222</v>
      </c>
      <c r="K43" s="94" t="s">
        <v>522</v>
      </c>
      <c r="L43" s="95">
        <v>4.62962962962963e-5</v>
      </c>
      <c r="M43" s="96"/>
      <c r="N43" s="96"/>
      <c r="O43" s="97" t="s">
        <v>630</v>
      </c>
      <c r="P43" s="83" t="s">
        <v>608</v>
      </c>
      <c r="Q43" s="81" t="s">
        <v>609</v>
      </c>
    </row>
    <row r="44" spans="1:17">
      <c r="A44" s="81" t="s">
        <v>596</v>
      </c>
      <c r="B44" s="101" t="s">
        <v>627</v>
      </c>
      <c r="C44" s="82" t="s">
        <v>615</v>
      </c>
      <c r="D44" s="82" t="s">
        <v>628</v>
      </c>
      <c r="E44" s="83" t="s">
        <v>578</v>
      </c>
      <c r="F44" s="83"/>
      <c r="G44" s="83" t="s">
        <v>530</v>
      </c>
      <c r="H44" s="84">
        <v>0.14169621749409</v>
      </c>
      <c r="I44" s="93">
        <v>0.148640661938534</v>
      </c>
      <c r="J44" s="94">
        <v>0.00694444444444444</v>
      </c>
      <c r="K44" s="94" t="s">
        <v>522</v>
      </c>
      <c r="L44" s="95">
        <v>0.0763888888888889</v>
      </c>
      <c r="M44" s="96">
        <v>165</v>
      </c>
      <c r="N44" s="96">
        <v>165</v>
      </c>
      <c r="O44" s="97" t="s">
        <v>629</v>
      </c>
      <c r="P44" s="83" t="s">
        <v>608</v>
      </c>
      <c r="Q44" s="81" t="s">
        <v>609</v>
      </c>
    </row>
    <row r="45" spans="1:17">
      <c r="A45" s="81" t="s">
        <v>596</v>
      </c>
      <c r="B45" s="101" t="s">
        <v>603</v>
      </c>
      <c r="C45" s="82" t="s">
        <v>631</v>
      </c>
      <c r="D45" s="82" t="s">
        <v>632</v>
      </c>
      <c r="E45" s="83" t="s">
        <v>606</v>
      </c>
      <c r="F45" s="83" t="s">
        <v>535</v>
      </c>
      <c r="G45" s="83" t="s">
        <v>530</v>
      </c>
      <c r="H45" s="84">
        <v>0.937540849673203</v>
      </c>
      <c r="I45" s="93">
        <v>0.937540849673203</v>
      </c>
      <c r="J45" s="94"/>
      <c r="K45" s="94" t="s">
        <v>522</v>
      </c>
      <c r="L45" s="95">
        <v>0.19656862745098</v>
      </c>
      <c r="M45" s="96">
        <v>401</v>
      </c>
      <c r="N45" s="96">
        <v>401</v>
      </c>
      <c r="O45" s="97" t="s">
        <v>607</v>
      </c>
      <c r="P45" s="83" t="s">
        <v>608</v>
      </c>
      <c r="Q45" s="81" t="s">
        <v>531</v>
      </c>
    </row>
    <row r="46" hidden="1" spans="1:17">
      <c r="A46" s="81" t="s">
        <v>596</v>
      </c>
      <c r="B46" s="101" t="s">
        <v>468</v>
      </c>
      <c r="C46" s="82" t="s">
        <v>631</v>
      </c>
      <c r="D46" s="82" t="s">
        <v>633</v>
      </c>
      <c r="E46" s="83" t="s">
        <v>571</v>
      </c>
      <c r="F46" s="83" t="s">
        <v>535</v>
      </c>
      <c r="G46" s="83"/>
      <c r="H46" s="84">
        <v>1.52115970072239</v>
      </c>
      <c r="I46" s="93">
        <v>1.53157636738906</v>
      </c>
      <c r="J46" s="94">
        <v>0.0104166666666667</v>
      </c>
      <c r="K46" s="94" t="s">
        <v>522</v>
      </c>
      <c r="L46" s="95">
        <v>0.194117647058824</v>
      </c>
      <c r="M46" s="96">
        <v>396</v>
      </c>
      <c r="N46" s="96">
        <v>719</v>
      </c>
      <c r="O46" s="97" t="s">
        <v>634</v>
      </c>
      <c r="P46" s="83" t="s">
        <v>635</v>
      </c>
      <c r="Q46" s="81" t="s">
        <v>531</v>
      </c>
    </row>
    <row r="47" hidden="1" spans="1:17">
      <c r="A47" s="81" t="s">
        <v>596</v>
      </c>
      <c r="B47" s="101" t="s">
        <v>636</v>
      </c>
      <c r="C47" s="82" t="s">
        <v>637</v>
      </c>
      <c r="D47" s="82" t="s">
        <v>638</v>
      </c>
      <c r="E47" s="83" t="s">
        <v>529</v>
      </c>
      <c r="F47" s="83"/>
      <c r="G47" s="83" t="s">
        <v>530</v>
      </c>
      <c r="H47" s="84">
        <v>0.919753086419753</v>
      </c>
      <c r="I47" s="93">
        <v>0.933641975308642</v>
      </c>
      <c r="J47" s="94">
        <v>0.0138888888888889</v>
      </c>
      <c r="K47" s="94" t="s">
        <v>522</v>
      </c>
      <c r="L47" s="95">
        <v>0.236625514403292</v>
      </c>
      <c r="M47" s="96">
        <v>464</v>
      </c>
      <c r="N47" s="96">
        <v>467.1</v>
      </c>
      <c r="O47" s="97" t="s">
        <v>639</v>
      </c>
      <c r="P47" s="83" t="s">
        <v>640</v>
      </c>
      <c r="Q47" s="81" t="s">
        <v>609</v>
      </c>
    </row>
    <row r="48" hidden="1" spans="1:17">
      <c r="A48" s="81" t="s">
        <v>596</v>
      </c>
      <c r="B48" s="101" t="s">
        <v>627</v>
      </c>
      <c r="C48" s="82" t="s">
        <v>637</v>
      </c>
      <c r="D48" s="82" t="s">
        <v>638</v>
      </c>
      <c r="E48" s="83" t="s">
        <v>529</v>
      </c>
      <c r="F48" s="83"/>
      <c r="G48" s="83" t="s">
        <v>530</v>
      </c>
      <c r="H48" s="84">
        <v>0.964624881291548</v>
      </c>
      <c r="I48" s="93">
        <v>0.978513770180437</v>
      </c>
      <c r="J48" s="94">
        <v>0.0138888888888889</v>
      </c>
      <c r="K48" s="94" t="s">
        <v>522</v>
      </c>
      <c r="L48" s="95">
        <v>0.0182142857142857</v>
      </c>
      <c r="M48" s="96">
        <v>35</v>
      </c>
      <c r="N48" s="96">
        <v>502.1</v>
      </c>
      <c r="O48" s="97" t="s">
        <v>641</v>
      </c>
      <c r="P48" s="83" t="s">
        <v>608</v>
      </c>
      <c r="Q48" s="81" t="s">
        <v>609</v>
      </c>
    </row>
    <row r="49" hidden="1" spans="1:17">
      <c r="A49" s="81" t="s">
        <v>596</v>
      </c>
      <c r="B49" s="101" t="s">
        <v>603</v>
      </c>
      <c r="C49" s="82" t="s">
        <v>637</v>
      </c>
      <c r="D49" s="82" t="s">
        <v>638</v>
      </c>
      <c r="E49" s="83" t="s">
        <v>529</v>
      </c>
      <c r="F49" s="83"/>
      <c r="G49" s="83" t="s">
        <v>530</v>
      </c>
      <c r="H49" s="84">
        <v>0.0650522317188982</v>
      </c>
      <c r="I49" s="93">
        <v>0.0789411206077871</v>
      </c>
      <c r="J49" s="94">
        <v>0.00347222222222222</v>
      </c>
      <c r="K49" s="94" t="s">
        <v>522</v>
      </c>
      <c r="L49" s="95">
        <v>0.0965686274509804</v>
      </c>
      <c r="M49" s="96">
        <v>205</v>
      </c>
      <c r="N49" s="96">
        <v>707.1</v>
      </c>
      <c r="O49" s="97" t="s">
        <v>607</v>
      </c>
      <c r="P49" s="83" t="s">
        <v>608</v>
      </c>
      <c r="Q49" s="81" t="s">
        <v>609</v>
      </c>
    </row>
    <row r="50" hidden="1" spans="1:17">
      <c r="A50" s="81" t="s">
        <v>596</v>
      </c>
      <c r="B50" s="101" t="s">
        <v>412</v>
      </c>
      <c r="C50" s="82" t="s">
        <v>555</v>
      </c>
      <c r="D50" s="82" t="s">
        <v>642</v>
      </c>
      <c r="E50" s="83" t="s">
        <v>529</v>
      </c>
      <c r="F50" s="83" t="s">
        <v>535</v>
      </c>
      <c r="G50" s="83"/>
      <c r="H50" s="84">
        <v>0.958333333333333</v>
      </c>
      <c r="I50" s="93">
        <v>0.979166666666667</v>
      </c>
      <c r="J50" s="94">
        <v>0.0208333333333333</v>
      </c>
      <c r="K50" s="94" t="s">
        <v>522</v>
      </c>
      <c r="L50" s="95">
        <v>0.09375</v>
      </c>
      <c r="M50" s="96">
        <v>147</v>
      </c>
      <c r="N50" s="96">
        <v>296</v>
      </c>
      <c r="O50" s="97" t="s">
        <v>413</v>
      </c>
      <c r="P50" s="83" t="s">
        <v>414</v>
      </c>
      <c r="Q50" s="81" t="s">
        <v>525</v>
      </c>
    </row>
    <row r="51" hidden="1" spans="1:17">
      <c r="A51" s="81" t="s">
        <v>596</v>
      </c>
      <c r="B51" s="101" t="s">
        <v>351</v>
      </c>
      <c r="C51" s="82" t="s">
        <v>555</v>
      </c>
      <c r="D51" s="82" t="s">
        <v>643</v>
      </c>
      <c r="E51" s="83" t="s">
        <v>529</v>
      </c>
      <c r="F51" s="83"/>
      <c r="G51" s="83" t="s">
        <v>530</v>
      </c>
      <c r="H51" s="84">
        <v>0</v>
      </c>
      <c r="I51" s="93">
        <v>0.0416666666666667</v>
      </c>
      <c r="J51" s="94">
        <v>0.0416666666666667</v>
      </c>
      <c r="K51" s="94" t="s">
        <v>522</v>
      </c>
      <c r="L51" s="95"/>
      <c r="M51" s="96"/>
      <c r="N51" s="96"/>
      <c r="O51" s="97" t="s">
        <v>352</v>
      </c>
      <c r="P51" s="83" t="s">
        <v>608</v>
      </c>
      <c r="Q51" s="81" t="s">
        <v>572</v>
      </c>
    </row>
    <row r="52" hidden="1" spans="1:17">
      <c r="A52" s="81" t="s">
        <v>596</v>
      </c>
      <c r="B52" s="101" t="s">
        <v>366</v>
      </c>
      <c r="C52" s="82" t="s">
        <v>555</v>
      </c>
      <c r="D52" s="82" t="s">
        <v>643</v>
      </c>
      <c r="E52" s="83" t="s">
        <v>529</v>
      </c>
      <c r="F52" s="83" t="s">
        <v>535</v>
      </c>
      <c r="G52" s="83" t="s">
        <v>530</v>
      </c>
      <c r="H52" s="84">
        <v>0.166666666666667</v>
      </c>
      <c r="I52" s="93">
        <v>0.208333333333333</v>
      </c>
      <c r="J52" s="94">
        <v>0.0416666666666667</v>
      </c>
      <c r="K52" s="94" t="s">
        <v>522</v>
      </c>
      <c r="L52" s="95">
        <v>0.1125</v>
      </c>
      <c r="M52" s="96">
        <v>189</v>
      </c>
      <c r="N52" s="96">
        <v>189</v>
      </c>
      <c r="O52" s="97" t="s">
        <v>367</v>
      </c>
      <c r="P52" s="83" t="s">
        <v>608</v>
      </c>
      <c r="Q52" s="81" t="s">
        <v>572</v>
      </c>
    </row>
    <row r="53" hidden="1" spans="1:17">
      <c r="A53" s="81" t="s">
        <v>596</v>
      </c>
      <c r="B53" s="101" t="s">
        <v>379</v>
      </c>
      <c r="C53" s="82" t="s">
        <v>555</v>
      </c>
      <c r="D53" s="82" t="s">
        <v>643</v>
      </c>
      <c r="E53" s="83" t="s">
        <v>529</v>
      </c>
      <c r="F53" s="83" t="s">
        <v>535</v>
      </c>
      <c r="G53" s="83"/>
      <c r="H53" s="84">
        <v>0.166666666666667</v>
      </c>
      <c r="I53" s="93">
        <v>0.208333333333333</v>
      </c>
      <c r="J53" s="94">
        <v>0.0416666666666667</v>
      </c>
      <c r="K53" s="94" t="s">
        <v>522</v>
      </c>
      <c r="L53" s="95">
        <v>0.185119047619048</v>
      </c>
      <c r="M53" s="96">
        <v>309</v>
      </c>
      <c r="N53" s="96">
        <v>1082</v>
      </c>
      <c r="O53" s="97" t="s">
        <v>644</v>
      </c>
      <c r="P53" s="83" t="s">
        <v>381</v>
      </c>
      <c r="Q53" s="81" t="s">
        <v>572</v>
      </c>
    </row>
    <row r="54" spans="1:17">
      <c r="A54" s="81" t="s">
        <v>596</v>
      </c>
      <c r="B54" s="101" t="s">
        <v>366</v>
      </c>
      <c r="C54" s="82" t="s">
        <v>555</v>
      </c>
      <c r="D54" s="82" t="s">
        <v>645</v>
      </c>
      <c r="E54" s="83" t="s">
        <v>529</v>
      </c>
      <c r="F54" s="83" t="s">
        <v>535</v>
      </c>
      <c r="G54" s="83" t="s">
        <v>530</v>
      </c>
      <c r="H54" s="84">
        <v>0.0416666666666667</v>
      </c>
      <c r="I54" s="93">
        <v>0.0833333333333333</v>
      </c>
      <c r="J54" s="94">
        <v>0.0416666666666667</v>
      </c>
      <c r="K54" s="94" t="s">
        <v>522</v>
      </c>
      <c r="L54" s="95">
        <v>0.331547619047619</v>
      </c>
      <c r="M54" s="96">
        <v>557</v>
      </c>
      <c r="N54" s="96">
        <v>893</v>
      </c>
      <c r="O54" s="97" t="s">
        <v>367</v>
      </c>
      <c r="P54" s="83" t="s">
        <v>608</v>
      </c>
      <c r="Q54" s="81" t="s">
        <v>572</v>
      </c>
    </row>
    <row r="55" spans="1:17">
      <c r="A55" s="81" t="s">
        <v>596</v>
      </c>
      <c r="B55" s="101" t="s">
        <v>443</v>
      </c>
      <c r="C55" s="82" t="s">
        <v>555</v>
      </c>
      <c r="D55" s="82" t="s">
        <v>646</v>
      </c>
      <c r="E55" s="83" t="s">
        <v>529</v>
      </c>
      <c r="F55" s="83"/>
      <c r="G55" s="83" t="s">
        <v>530</v>
      </c>
      <c r="H55" s="84">
        <v>0.0625</v>
      </c>
      <c r="I55" s="93">
        <v>0.104166666666667</v>
      </c>
      <c r="J55" s="94">
        <v>0.0416666666666667</v>
      </c>
      <c r="K55" s="94" t="s">
        <v>522</v>
      </c>
      <c r="L55" s="95"/>
      <c r="M55" s="96"/>
      <c r="N55" s="96"/>
      <c r="O55" s="97" t="s">
        <v>647</v>
      </c>
      <c r="P55" s="83" t="s">
        <v>445</v>
      </c>
      <c r="Q55" s="81" t="s">
        <v>592</v>
      </c>
    </row>
    <row r="56" spans="1:17">
      <c r="A56" s="81" t="s">
        <v>596</v>
      </c>
      <c r="B56" s="101" t="s">
        <v>648</v>
      </c>
      <c r="C56" s="82" t="s">
        <v>555</v>
      </c>
      <c r="D56" s="82" t="s">
        <v>646</v>
      </c>
      <c r="E56" s="83" t="s">
        <v>529</v>
      </c>
      <c r="F56" s="83" t="s">
        <v>535</v>
      </c>
      <c r="G56" s="83"/>
      <c r="H56" s="84">
        <v>0.190104166666667</v>
      </c>
      <c r="I56" s="93">
        <v>0.23125</v>
      </c>
      <c r="J56" s="94">
        <v>0.0416666666666667</v>
      </c>
      <c r="K56" s="94" t="s">
        <v>522</v>
      </c>
      <c r="L56" s="95">
        <v>0.0859375</v>
      </c>
      <c r="M56" s="96">
        <v>176</v>
      </c>
      <c r="N56" s="96">
        <v>176</v>
      </c>
      <c r="O56" s="97" t="s">
        <v>649</v>
      </c>
      <c r="P56" s="83" t="s">
        <v>650</v>
      </c>
      <c r="Q56" s="81" t="s">
        <v>592</v>
      </c>
    </row>
    <row r="57" spans="1:17">
      <c r="A57" s="81" t="s">
        <v>596</v>
      </c>
      <c r="B57" s="101" t="s">
        <v>443</v>
      </c>
      <c r="C57" s="82" t="s">
        <v>555</v>
      </c>
      <c r="D57" s="82" t="s">
        <v>646</v>
      </c>
      <c r="E57" s="83" t="s">
        <v>529</v>
      </c>
      <c r="F57" s="83" t="s">
        <v>535</v>
      </c>
      <c r="G57" s="83"/>
      <c r="H57" s="84">
        <v>0.9375</v>
      </c>
      <c r="I57" s="93">
        <v>0.979166666666667</v>
      </c>
      <c r="J57" s="94">
        <v>0.0208333333333333</v>
      </c>
      <c r="K57" s="94" t="s">
        <v>522</v>
      </c>
      <c r="L57" s="95">
        <v>0.0859375</v>
      </c>
      <c r="M57" s="96">
        <v>176</v>
      </c>
      <c r="N57" s="96">
        <v>352</v>
      </c>
      <c r="O57" s="97" t="s">
        <v>647</v>
      </c>
      <c r="P57" s="83" t="s">
        <v>445</v>
      </c>
      <c r="Q57" s="81" t="s">
        <v>592</v>
      </c>
    </row>
    <row r="58" spans="1:17">
      <c r="A58" s="81" t="s">
        <v>596</v>
      </c>
      <c r="B58" s="101" t="s">
        <v>468</v>
      </c>
      <c r="C58" s="82" t="s">
        <v>555</v>
      </c>
      <c r="D58" s="82" t="s">
        <v>651</v>
      </c>
      <c r="E58" s="83" t="s">
        <v>529</v>
      </c>
      <c r="F58" s="83" t="s">
        <v>535</v>
      </c>
      <c r="G58" s="83" t="s">
        <v>530</v>
      </c>
      <c r="H58" s="84">
        <v>1.04285714285714</v>
      </c>
      <c r="I58" s="93">
        <v>0.250694444444444</v>
      </c>
      <c r="J58" s="94">
        <v>0.208333333333333</v>
      </c>
      <c r="K58" s="94" t="s">
        <v>522</v>
      </c>
      <c r="L58" s="95">
        <v>0.103921568627451</v>
      </c>
      <c r="M58" s="96">
        <v>212</v>
      </c>
      <c r="N58" s="96">
        <v>212</v>
      </c>
      <c r="O58" s="97" t="s">
        <v>634</v>
      </c>
      <c r="P58" s="83" t="s">
        <v>414</v>
      </c>
      <c r="Q58" s="81" t="s">
        <v>525</v>
      </c>
    </row>
    <row r="59" hidden="1" spans="1:17">
      <c r="A59" s="81" t="s">
        <v>596</v>
      </c>
      <c r="B59" s="101" t="s">
        <v>412</v>
      </c>
      <c r="C59" s="82" t="s">
        <v>555</v>
      </c>
      <c r="D59" s="82" t="s">
        <v>651</v>
      </c>
      <c r="E59" s="83" t="s">
        <v>529</v>
      </c>
      <c r="F59" s="83" t="s">
        <v>535</v>
      </c>
      <c r="G59" s="83"/>
      <c r="H59" s="84">
        <v>1.37797619047619</v>
      </c>
      <c r="I59" s="93">
        <v>0.419444444444444</v>
      </c>
      <c r="J59" s="94">
        <v>0.0416666666666667</v>
      </c>
      <c r="K59" s="94" t="s">
        <v>522</v>
      </c>
      <c r="L59" s="95">
        <v>0.126173708920188</v>
      </c>
      <c r="M59" s="96">
        <v>213</v>
      </c>
      <c r="N59" s="96">
        <v>425</v>
      </c>
      <c r="O59" s="97" t="s">
        <v>413</v>
      </c>
      <c r="P59" s="83" t="s">
        <v>414</v>
      </c>
      <c r="Q59" s="81" t="s">
        <v>525</v>
      </c>
    </row>
    <row r="60" hidden="1" spans="1:17">
      <c r="A60" s="81" t="s">
        <v>596</v>
      </c>
      <c r="B60" s="101" t="s">
        <v>468</v>
      </c>
      <c r="C60" s="82" t="s">
        <v>555</v>
      </c>
      <c r="D60" s="82" t="s">
        <v>652</v>
      </c>
      <c r="E60" s="83" t="s">
        <v>606</v>
      </c>
      <c r="F60" s="83" t="s">
        <v>535</v>
      </c>
      <c r="G60" s="83" t="s">
        <v>530</v>
      </c>
      <c r="H60" s="84">
        <v>0.9375</v>
      </c>
      <c r="I60" s="93">
        <v>0.0625</v>
      </c>
      <c r="J60" s="94">
        <v>0.125</v>
      </c>
      <c r="K60" s="94" t="s">
        <v>522</v>
      </c>
      <c r="L60" s="95">
        <v>0.126785714285714</v>
      </c>
      <c r="M60" s="96">
        <v>213</v>
      </c>
      <c r="N60" s="96">
        <v>213</v>
      </c>
      <c r="O60" s="97" t="s">
        <v>653</v>
      </c>
      <c r="P60" s="83" t="s">
        <v>414</v>
      </c>
      <c r="Q60" s="81" t="s">
        <v>572</v>
      </c>
    </row>
    <row r="61" hidden="1" spans="1:17">
      <c r="A61" s="81" t="s">
        <v>596</v>
      </c>
      <c r="B61" s="101" t="s">
        <v>468</v>
      </c>
      <c r="C61" s="82" t="s">
        <v>555</v>
      </c>
      <c r="D61" s="82" t="s">
        <v>654</v>
      </c>
      <c r="E61" s="83" t="s">
        <v>578</v>
      </c>
      <c r="F61" s="83" t="s">
        <v>535</v>
      </c>
      <c r="G61" s="83" t="s">
        <v>530</v>
      </c>
      <c r="H61" s="84">
        <v>2.1047619047619</v>
      </c>
      <c r="I61" s="93">
        <v>0.166666666666667</v>
      </c>
      <c r="J61" s="94">
        <v>0.0625</v>
      </c>
      <c r="K61" s="94" t="s">
        <v>522</v>
      </c>
      <c r="L61" s="95">
        <v>0.432738095238095</v>
      </c>
      <c r="M61" s="96">
        <v>727</v>
      </c>
      <c r="N61" s="96">
        <v>727</v>
      </c>
      <c r="O61" s="97" t="s">
        <v>653</v>
      </c>
      <c r="P61" s="83" t="s">
        <v>414</v>
      </c>
      <c r="Q61" s="81" t="s">
        <v>572</v>
      </c>
    </row>
    <row r="62" hidden="1" spans="1:17">
      <c r="A62" s="81" t="s">
        <v>596</v>
      </c>
      <c r="B62" s="101" t="s">
        <v>351</v>
      </c>
      <c r="C62" s="82" t="s">
        <v>569</v>
      </c>
      <c r="D62" s="82" t="s">
        <v>655</v>
      </c>
      <c r="E62" s="83" t="s">
        <v>578</v>
      </c>
      <c r="F62" s="83" t="s">
        <v>535</v>
      </c>
      <c r="G62" s="83" t="s">
        <v>530</v>
      </c>
      <c r="H62" s="84">
        <v>0.972570751545906</v>
      </c>
      <c r="I62" s="93">
        <v>0.000348529323683344</v>
      </c>
      <c r="J62" s="94">
        <v>0.0277777777777778</v>
      </c>
      <c r="K62" s="94" t="s">
        <v>522</v>
      </c>
      <c r="L62" s="95">
        <v>0.239285714285714</v>
      </c>
      <c r="M62" s="96">
        <v>422</v>
      </c>
      <c r="N62" s="96">
        <v>1178</v>
      </c>
      <c r="O62" s="97" t="s">
        <v>352</v>
      </c>
      <c r="P62" s="83" t="s">
        <v>608</v>
      </c>
      <c r="Q62" s="81" t="s">
        <v>572</v>
      </c>
    </row>
    <row r="63" hidden="1" spans="1:17">
      <c r="A63" s="81" t="s">
        <v>596</v>
      </c>
      <c r="B63" s="101" t="s">
        <v>412</v>
      </c>
      <c r="C63" s="82" t="s">
        <v>569</v>
      </c>
      <c r="D63" s="82" t="s">
        <v>656</v>
      </c>
      <c r="E63" s="83" t="s">
        <v>574</v>
      </c>
      <c r="F63" s="83" t="s">
        <v>535</v>
      </c>
      <c r="G63" s="83" t="s">
        <v>530</v>
      </c>
      <c r="H63" s="84">
        <v>1.00055555555556</v>
      </c>
      <c r="I63" s="93">
        <v>1.04222222222222</v>
      </c>
      <c r="J63" s="94">
        <v>0.0416666666666667</v>
      </c>
      <c r="K63" s="94" t="s">
        <v>522</v>
      </c>
      <c r="L63" s="95">
        <v>0.403333333333333</v>
      </c>
      <c r="M63" s="96">
        <v>746</v>
      </c>
      <c r="N63" s="96">
        <v>746</v>
      </c>
      <c r="O63" s="97" t="s">
        <v>413</v>
      </c>
      <c r="P63" s="83" t="s">
        <v>414</v>
      </c>
      <c r="Q63" s="81" t="s">
        <v>572</v>
      </c>
    </row>
    <row r="64" spans="1:17">
      <c r="A64" s="81" t="s">
        <v>596</v>
      </c>
      <c r="B64" s="101" t="s">
        <v>456</v>
      </c>
      <c r="C64" s="82" t="s">
        <v>569</v>
      </c>
      <c r="D64" s="82" t="s">
        <v>656</v>
      </c>
      <c r="E64" s="83" t="s">
        <v>574</v>
      </c>
      <c r="F64" s="83" t="s">
        <v>535</v>
      </c>
      <c r="G64" s="83" t="s">
        <v>530</v>
      </c>
      <c r="H64" s="84">
        <v>1.13577380952381</v>
      </c>
      <c r="I64" s="93">
        <v>1.17744047619048</v>
      </c>
      <c r="J64" s="94">
        <v>0.0416666666666667</v>
      </c>
      <c r="K64" s="94" t="s">
        <v>522</v>
      </c>
      <c r="L64" s="95">
        <v>0.0886904761904762</v>
      </c>
      <c r="M64" s="96">
        <v>165</v>
      </c>
      <c r="N64" s="96">
        <v>911</v>
      </c>
      <c r="O64" s="97" t="s">
        <v>657</v>
      </c>
      <c r="P64" s="83" t="s">
        <v>414</v>
      </c>
      <c r="Q64" s="81" t="s">
        <v>572</v>
      </c>
    </row>
    <row r="65" spans="1:17">
      <c r="A65" s="81" t="s">
        <v>596</v>
      </c>
      <c r="B65" s="101" t="s">
        <v>428</v>
      </c>
      <c r="C65" s="82" t="s">
        <v>569</v>
      </c>
      <c r="D65" s="82" t="s">
        <v>658</v>
      </c>
      <c r="E65" s="83" t="s">
        <v>574</v>
      </c>
      <c r="F65" s="83" t="s">
        <v>535</v>
      </c>
      <c r="G65" s="83" t="s">
        <v>530</v>
      </c>
      <c r="H65" s="84">
        <v>0.916886574074074</v>
      </c>
      <c r="I65" s="93">
        <v>0.958333333333333</v>
      </c>
      <c r="J65" s="94">
        <v>0.0416666666666667</v>
      </c>
      <c r="K65" s="94" t="s">
        <v>522</v>
      </c>
      <c r="L65" s="95">
        <v>0.0291071428571429</v>
      </c>
      <c r="M65" s="96">
        <v>41</v>
      </c>
      <c r="N65" s="96">
        <v>534</v>
      </c>
      <c r="O65" s="97" t="s">
        <v>659</v>
      </c>
      <c r="P65" s="83" t="s">
        <v>640</v>
      </c>
      <c r="Q65" s="81" t="s">
        <v>572</v>
      </c>
    </row>
    <row r="66" spans="1:17">
      <c r="A66" s="81" t="s">
        <v>596</v>
      </c>
      <c r="B66" s="101" t="s">
        <v>366</v>
      </c>
      <c r="C66" s="82" t="s">
        <v>569</v>
      </c>
      <c r="D66" s="82" t="s">
        <v>658</v>
      </c>
      <c r="E66" s="83" t="s">
        <v>574</v>
      </c>
      <c r="F66" s="83" t="s">
        <v>535</v>
      </c>
      <c r="G66" s="83" t="s">
        <v>530</v>
      </c>
      <c r="H66" s="84">
        <v>0</v>
      </c>
      <c r="I66" s="93">
        <v>0.0555555555555556</v>
      </c>
      <c r="J66" s="94">
        <v>0.0555555555555556</v>
      </c>
      <c r="K66" s="94" t="s">
        <v>522</v>
      </c>
      <c r="L66" s="95">
        <v>0.0244047619047619</v>
      </c>
      <c r="M66" s="96">
        <v>41</v>
      </c>
      <c r="N66" s="96">
        <v>575</v>
      </c>
      <c r="O66" s="97" t="s">
        <v>367</v>
      </c>
      <c r="P66" s="83" t="s">
        <v>608</v>
      </c>
      <c r="Q66" s="81" t="s">
        <v>572</v>
      </c>
    </row>
    <row r="67" spans="1:17">
      <c r="A67" s="81" t="s">
        <v>596</v>
      </c>
      <c r="B67" s="101" t="s">
        <v>351</v>
      </c>
      <c r="C67" s="82" t="s">
        <v>569</v>
      </c>
      <c r="D67" s="82" t="s">
        <v>658</v>
      </c>
      <c r="E67" s="83" t="s">
        <v>574</v>
      </c>
      <c r="F67" s="83" t="s">
        <v>535</v>
      </c>
      <c r="G67" s="83" t="s">
        <v>530</v>
      </c>
      <c r="H67" s="84">
        <v>0.125</v>
      </c>
      <c r="I67" s="93">
        <v>0.180555555555556</v>
      </c>
      <c r="J67" s="94">
        <v>0.0305555555555556</v>
      </c>
      <c r="K67" s="94" t="s">
        <v>522</v>
      </c>
      <c r="L67" s="95">
        <v>0.0942708333333333</v>
      </c>
      <c r="M67" s="96">
        <v>171</v>
      </c>
      <c r="N67" s="96">
        <v>746</v>
      </c>
      <c r="O67" s="97" t="s">
        <v>660</v>
      </c>
      <c r="P67" s="83" t="s">
        <v>608</v>
      </c>
      <c r="Q67" s="81" t="s">
        <v>572</v>
      </c>
    </row>
    <row r="68" hidden="1" spans="1:17">
      <c r="A68" s="81" t="s">
        <v>596</v>
      </c>
      <c r="B68" s="101" t="s">
        <v>396</v>
      </c>
      <c r="C68" s="82" t="s">
        <v>569</v>
      </c>
      <c r="D68" s="82" t="s">
        <v>661</v>
      </c>
      <c r="E68" s="83" t="s">
        <v>578</v>
      </c>
      <c r="F68" s="83" t="s">
        <v>535</v>
      </c>
      <c r="G68" s="83" t="s">
        <v>530</v>
      </c>
      <c r="H68" s="84">
        <v>0.9375</v>
      </c>
      <c r="I68" s="93">
        <v>0.979166666666667</v>
      </c>
      <c r="J68" s="94">
        <v>0.0416666666666667</v>
      </c>
      <c r="K68" s="94" t="s">
        <v>522</v>
      </c>
      <c r="L68" s="95">
        <v>0.0160714285714286</v>
      </c>
      <c r="M68" s="96">
        <v>27</v>
      </c>
      <c r="N68" s="96">
        <v>983</v>
      </c>
      <c r="O68" s="97" t="s">
        <v>662</v>
      </c>
      <c r="P68" s="83" t="s">
        <v>663</v>
      </c>
      <c r="Q68" s="81" t="s">
        <v>572</v>
      </c>
    </row>
    <row r="69" hidden="1" spans="1:17">
      <c r="A69" s="81" t="s">
        <v>596</v>
      </c>
      <c r="B69" s="81" t="s">
        <v>443</v>
      </c>
      <c r="C69" s="82" t="s">
        <v>569</v>
      </c>
      <c r="D69" s="82" t="s">
        <v>661</v>
      </c>
      <c r="E69" s="83" t="s">
        <v>578</v>
      </c>
      <c r="F69" s="83" t="s">
        <v>535</v>
      </c>
      <c r="G69" s="83" t="s">
        <v>530</v>
      </c>
      <c r="H69" s="84">
        <v>0.0208333333333333</v>
      </c>
      <c r="I69" s="93">
        <v>0.0628819444444444</v>
      </c>
      <c r="J69" s="94">
        <v>0.0416666666666667</v>
      </c>
      <c r="K69" s="94" t="s">
        <v>522</v>
      </c>
      <c r="L69" s="95">
        <v>0.0178571428571429</v>
      </c>
      <c r="M69" s="96">
        <v>30</v>
      </c>
      <c r="N69" s="96">
        <v>1013</v>
      </c>
      <c r="O69" s="97" t="s">
        <v>444</v>
      </c>
      <c r="P69" s="83" t="s">
        <v>445</v>
      </c>
      <c r="Q69" s="81" t="s">
        <v>572</v>
      </c>
    </row>
    <row r="70" hidden="1" spans="1:17">
      <c r="A70" s="81" t="s">
        <v>596</v>
      </c>
      <c r="B70" s="81" t="s">
        <v>396</v>
      </c>
      <c r="C70" s="82" t="s">
        <v>569</v>
      </c>
      <c r="D70" s="82" t="s">
        <v>664</v>
      </c>
      <c r="E70" s="83" t="s">
        <v>574</v>
      </c>
      <c r="F70" s="83" t="s">
        <v>535</v>
      </c>
      <c r="G70" s="83" t="s">
        <v>530</v>
      </c>
      <c r="H70" s="84">
        <v>0.9375</v>
      </c>
      <c r="I70" s="93">
        <v>0.979166666666667</v>
      </c>
      <c r="J70" s="94">
        <v>0.0416666666666667</v>
      </c>
      <c r="K70" s="94" t="s">
        <v>522</v>
      </c>
      <c r="L70" s="95">
        <v>0.0160714285714286</v>
      </c>
      <c r="M70" s="96">
        <v>27</v>
      </c>
      <c r="N70" s="96">
        <v>983</v>
      </c>
      <c r="O70" s="97" t="s">
        <v>662</v>
      </c>
      <c r="P70" s="83" t="s">
        <v>663</v>
      </c>
      <c r="Q70" s="81" t="s">
        <v>572</v>
      </c>
    </row>
    <row r="71" hidden="1" spans="1:17">
      <c r="A71" s="81" t="s">
        <v>596</v>
      </c>
      <c r="B71" s="81" t="s">
        <v>443</v>
      </c>
      <c r="C71" s="82" t="s">
        <v>569</v>
      </c>
      <c r="D71" s="82" t="s">
        <v>664</v>
      </c>
      <c r="E71" s="83" t="s">
        <v>574</v>
      </c>
      <c r="F71" s="83" t="s">
        <v>535</v>
      </c>
      <c r="G71" s="83" t="s">
        <v>530</v>
      </c>
      <c r="H71" s="84">
        <v>0.0208333333333333</v>
      </c>
      <c r="I71" s="93">
        <v>0.0628819444444444</v>
      </c>
      <c r="J71" s="94">
        <v>0.0416666666666667</v>
      </c>
      <c r="K71" s="94" t="s">
        <v>522</v>
      </c>
      <c r="L71" s="95">
        <v>0.0178571428571429</v>
      </c>
      <c r="M71" s="96">
        <v>30</v>
      </c>
      <c r="N71" s="96">
        <v>1013</v>
      </c>
      <c r="O71" s="97" t="s">
        <v>444</v>
      </c>
      <c r="P71" s="83" t="s">
        <v>445</v>
      </c>
      <c r="Q71" s="81" t="s">
        <v>572</v>
      </c>
    </row>
    <row r="72" hidden="1" spans="1:17">
      <c r="A72" s="81" t="s">
        <v>596</v>
      </c>
      <c r="B72" s="81" t="s">
        <v>351</v>
      </c>
      <c r="C72" s="82" t="s">
        <v>569</v>
      </c>
      <c r="D72" s="82" t="s">
        <v>665</v>
      </c>
      <c r="E72" s="83" t="s">
        <v>578</v>
      </c>
      <c r="F72" s="83" t="s">
        <v>535</v>
      </c>
      <c r="G72" s="83" t="s">
        <v>530</v>
      </c>
      <c r="H72" s="84">
        <v>0.958333333333333</v>
      </c>
      <c r="I72" s="93">
        <v>0.986111111111111</v>
      </c>
      <c r="J72" s="94">
        <v>0.0277777777777778</v>
      </c>
      <c r="K72" s="94" t="s">
        <v>522</v>
      </c>
      <c r="L72" s="95">
        <v>0.0942708333333333</v>
      </c>
      <c r="M72" s="96">
        <v>171</v>
      </c>
      <c r="N72" s="96">
        <v>746</v>
      </c>
      <c r="O72" s="97" t="s">
        <v>660</v>
      </c>
      <c r="P72" s="83" t="s">
        <v>608</v>
      </c>
      <c r="Q72" s="81" t="s">
        <v>572</v>
      </c>
    </row>
    <row r="73" hidden="1" spans="1:17">
      <c r="A73" s="81" t="s">
        <v>596</v>
      </c>
      <c r="B73" s="81" t="s">
        <v>412</v>
      </c>
      <c r="C73" s="82" t="s">
        <v>569</v>
      </c>
      <c r="D73" s="82" t="s">
        <v>666</v>
      </c>
      <c r="E73" s="83" t="s">
        <v>529</v>
      </c>
      <c r="F73" s="83" t="s">
        <v>535</v>
      </c>
      <c r="G73" s="83" t="s">
        <v>530</v>
      </c>
      <c r="H73" s="84">
        <v>1.39623015873016</v>
      </c>
      <c r="I73" s="93">
        <v>1.41706349206349</v>
      </c>
      <c r="J73" s="94">
        <v>0.0208333333333333</v>
      </c>
      <c r="K73" s="94" t="s">
        <v>522</v>
      </c>
      <c r="L73" s="95">
        <v>0.0869047619047619</v>
      </c>
      <c r="M73" s="96">
        <v>480</v>
      </c>
      <c r="N73" s="83">
        <v>1683</v>
      </c>
      <c r="O73" s="97" t="s">
        <v>413</v>
      </c>
      <c r="P73" s="83" t="s">
        <v>414</v>
      </c>
      <c r="Q73" s="81" t="s">
        <v>572</v>
      </c>
    </row>
    <row r="74" hidden="1" spans="1:17">
      <c r="A74" s="81" t="s">
        <v>596</v>
      </c>
      <c r="B74" s="81" t="s">
        <v>456</v>
      </c>
      <c r="C74" s="82" t="s">
        <v>569</v>
      </c>
      <c r="D74" s="82" t="s">
        <v>666</v>
      </c>
      <c r="E74" s="83" t="s">
        <v>529</v>
      </c>
      <c r="F74" s="83" t="s">
        <v>535</v>
      </c>
      <c r="G74" s="83" t="s">
        <v>530</v>
      </c>
      <c r="H74" s="84">
        <v>1.52132936507937</v>
      </c>
      <c r="I74" s="93">
        <v>1.5421626984127</v>
      </c>
      <c r="J74" s="94">
        <v>0.0208333333333333</v>
      </c>
      <c r="K74" s="94" t="s">
        <v>522</v>
      </c>
      <c r="L74" s="95">
        <v>0.0869047619047619</v>
      </c>
      <c r="M74" s="96">
        <v>183</v>
      </c>
      <c r="N74" s="96">
        <v>1866</v>
      </c>
      <c r="O74" s="97" t="s">
        <v>657</v>
      </c>
      <c r="P74" s="83" t="s">
        <v>414</v>
      </c>
      <c r="Q74" s="81" t="s">
        <v>572</v>
      </c>
    </row>
    <row r="75" hidden="1" spans="1:17">
      <c r="A75" s="81" t="s">
        <v>596</v>
      </c>
      <c r="B75" s="81" t="s">
        <v>396</v>
      </c>
      <c r="C75" s="82" t="s">
        <v>569</v>
      </c>
      <c r="D75" s="82" t="s">
        <v>667</v>
      </c>
      <c r="E75" s="83" t="s">
        <v>578</v>
      </c>
      <c r="F75" s="83" t="s">
        <v>535</v>
      </c>
      <c r="G75" s="83" t="s">
        <v>530</v>
      </c>
      <c r="H75" s="84">
        <v>0.917233796296296</v>
      </c>
      <c r="I75" s="93">
        <v>0.958900462962963</v>
      </c>
      <c r="J75" s="94">
        <v>0.0416666666666667</v>
      </c>
      <c r="K75" s="94" t="s">
        <v>522</v>
      </c>
      <c r="L75" s="95">
        <v>0.4875</v>
      </c>
      <c r="M75" s="96">
        <v>946</v>
      </c>
      <c r="N75" s="96">
        <v>946</v>
      </c>
      <c r="O75" s="97" t="s">
        <v>662</v>
      </c>
      <c r="P75" s="83" t="s">
        <v>663</v>
      </c>
      <c r="Q75" s="81" t="s">
        <v>572</v>
      </c>
    </row>
    <row r="76" hidden="1" spans="1:17">
      <c r="A76" s="81" t="s">
        <v>596</v>
      </c>
      <c r="B76" s="81" t="s">
        <v>379</v>
      </c>
      <c r="C76" s="82" t="s">
        <v>569</v>
      </c>
      <c r="D76" s="82" t="s">
        <v>667</v>
      </c>
      <c r="E76" s="83" t="s">
        <v>578</v>
      </c>
      <c r="F76" s="83" t="s">
        <v>535</v>
      </c>
      <c r="G76" s="83" t="s">
        <v>530</v>
      </c>
      <c r="H76" s="84">
        <v>0.167233796296296</v>
      </c>
      <c r="I76" s="93">
        <v>0.208900462962963</v>
      </c>
      <c r="J76" s="94">
        <v>0.0416666666666667</v>
      </c>
      <c r="K76" s="94" t="s">
        <v>522</v>
      </c>
      <c r="L76" s="95">
        <v>0.185119047619048</v>
      </c>
      <c r="M76" s="96">
        <v>311</v>
      </c>
      <c r="N76" s="96">
        <v>1257</v>
      </c>
      <c r="O76" s="97" t="s">
        <v>668</v>
      </c>
      <c r="P76" s="83" t="s">
        <v>381</v>
      </c>
      <c r="Q76" s="81" t="s">
        <v>572</v>
      </c>
    </row>
    <row r="77" hidden="1" spans="1:17">
      <c r="A77" s="81" t="s">
        <v>596</v>
      </c>
      <c r="B77" s="81" t="s">
        <v>396</v>
      </c>
      <c r="C77" s="82" t="s">
        <v>569</v>
      </c>
      <c r="D77" s="82" t="s">
        <v>669</v>
      </c>
      <c r="E77" s="83" t="s">
        <v>574</v>
      </c>
      <c r="F77" s="83" t="s">
        <v>535</v>
      </c>
      <c r="G77" s="83" t="s">
        <v>530</v>
      </c>
      <c r="H77" s="84">
        <v>0.917233796296296</v>
      </c>
      <c r="I77" s="93">
        <v>0.958900462962963</v>
      </c>
      <c r="J77" s="94">
        <v>0.0416666666666667</v>
      </c>
      <c r="K77" s="94" t="s">
        <v>522</v>
      </c>
      <c r="L77" s="95">
        <v>0.4875</v>
      </c>
      <c r="M77" s="96">
        <v>946</v>
      </c>
      <c r="N77" s="83">
        <v>946</v>
      </c>
      <c r="O77" s="97" t="s">
        <v>662</v>
      </c>
      <c r="P77" s="83" t="s">
        <v>663</v>
      </c>
      <c r="Q77" s="81" t="s">
        <v>572</v>
      </c>
    </row>
    <row r="78" hidden="1" spans="1:17">
      <c r="A78" s="81" t="s">
        <v>596</v>
      </c>
      <c r="B78" s="81" t="s">
        <v>379</v>
      </c>
      <c r="C78" s="82" t="s">
        <v>569</v>
      </c>
      <c r="D78" s="82" t="s">
        <v>669</v>
      </c>
      <c r="E78" s="83" t="s">
        <v>574</v>
      </c>
      <c r="F78" s="83" t="s">
        <v>535</v>
      </c>
      <c r="G78" s="83" t="s">
        <v>530</v>
      </c>
      <c r="H78" s="84">
        <v>0.167233796296296</v>
      </c>
      <c r="I78" s="93">
        <v>0.208900462962963</v>
      </c>
      <c r="J78" s="94">
        <v>0.0416666666666667</v>
      </c>
      <c r="K78" s="94" t="s">
        <v>522</v>
      </c>
      <c r="L78" s="95">
        <v>0.185119047619048</v>
      </c>
      <c r="M78" s="96">
        <v>311</v>
      </c>
      <c r="N78" s="83">
        <v>1257</v>
      </c>
      <c r="O78" s="97" t="s">
        <v>668</v>
      </c>
      <c r="P78" s="83" t="s">
        <v>381</v>
      </c>
      <c r="Q78" s="81" t="s">
        <v>572</v>
      </c>
    </row>
    <row r="79" hidden="1" spans="1:17">
      <c r="A79" s="81" t="s">
        <v>596</v>
      </c>
      <c r="B79" s="81" t="s">
        <v>428</v>
      </c>
      <c r="C79" s="82"/>
      <c r="D79" s="82" t="s">
        <v>670</v>
      </c>
      <c r="E79" s="83" t="s">
        <v>574</v>
      </c>
      <c r="F79" s="83" t="s">
        <v>535</v>
      </c>
      <c r="G79" s="83" t="s">
        <v>530</v>
      </c>
      <c r="H79" s="84">
        <v>0.917116013071895</v>
      </c>
      <c r="I79" s="93">
        <v>0.958333333333333</v>
      </c>
      <c r="J79" s="94">
        <v>0.0416666666666667</v>
      </c>
      <c r="K79" s="94" t="s">
        <v>522</v>
      </c>
      <c r="L79" s="95">
        <v>0.262254901960784</v>
      </c>
      <c r="M79" s="96">
        <v>530</v>
      </c>
      <c r="N79" s="83">
        <v>530</v>
      </c>
      <c r="O79" s="97" t="s">
        <v>639</v>
      </c>
      <c r="P79" s="83" t="s">
        <v>640</v>
      </c>
      <c r="Q79" s="81" t="s">
        <v>572</v>
      </c>
    </row>
    <row r="80" hidden="1" spans="1:17">
      <c r="A80" s="81" t="s">
        <v>596</v>
      </c>
      <c r="B80" s="81" t="s">
        <v>396</v>
      </c>
      <c r="C80" s="82" t="s">
        <v>671</v>
      </c>
      <c r="D80" s="82" t="s">
        <v>672</v>
      </c>
      <c r="E80" s="83" t="s">
        <v>673</v>
      </c>
      <c r="F80" s="83"/>
      <c r="G80" s="83"/>
      <c r="H80" s="84">
        <v>0.917091836734694</v>
      </c>
      <c r="I80" s="93">
        <v>0.923611111111111</v>
      </c>
      <c r="J80" s="94">
        <v>0.00651927437641719</v>
      </c>
      <c r="K80" s="94" t="s">
        <v>522</v>
      </c>
      <c r="L80" s="95">
        <v>0.0212585034013605</v>
      </c>
      <c r="M80" s="96">
        <v>25</v>
      </c>
      <c r="N80" s="83">
        <v>55</v>
      </c>
      <c r="O80" s="97" t="s">
        <v>662</v>
      </c>
      <c r="P80" s="83" t="s">
        <v>663</v>
      </c>
      <c r="Q80" s="81" t="s">
        <v>531</v>
      </c>
    </row>
    <row r="81" hidden="1" spans="1:17">
      <c r="A81" s="81"/>
      <c r="B81" s="81"/>
      <c r="C81" s="82"/>
      <c r="D81" s="82"/>
      <c r="E81" s="83"/>
      <c r="F81" s="83"/>
      <c r="G81" s="83"/>
      <c r="H81" s="84"/>
      <c r="I81" s="93"/>
      <c r="J81" s="94"/>
      <c r="K81" s="94"/>
      <c r="L81" s="95"/>
      <c r="M81" s="96"/>
      <c r="N81" s="83"/>
      <c r="O81" s="97"/>
      <c r="P81" s="83"/>
      <c r="Q81" s="81"/>
    </row>
    <row r="82" hidden="1" spans="1:17">
      <c r="A82" s="81"/>
      <c r="B82" s="81"/>
      <c r="C82" s="82"/>
      <c r="D82" s="82"/>
      <c r="E82" s="83"/>
      <c r="F82" s="83"/>
      <c r="G82" s="83"/>
      <c r="H82" s="84"/>
      <c r="I82" s="93"/>
      <c r="J82" s="94"/>
      <c r="K82" s="94"/>
      <c r="L82" s="95"/>
      <c r="M82" s="96"/>
      <c r="N82" s="96"/>
      <c r="O82" s="97"/>
      <c r="P82" s="83"/>
      <c r="Q82" s="81"/>
    </row>
    <row r="83" hidden="1" spans="1:17">
      <c r="A83" s="81"/>
      <c r="B83" s="81"/>
      <c r="C83" s="82"/>
      <c r="D83" s="82"/>
      <c r="E83" s="83"/>
      <c r="F83" s="83"/>
      <c r="G83" s="83"/>
      <c r="H83" s="84"/>
      <c r="I83" s="93"/>
      <c r="J83" s="94"/>
      <c r="K83" s="94"/>
      <c r="L83" s="95"/>
      <c r="M83" s="96"/>
      <c r="N83" s="96"/>
      <c r="O83" s="97"/>
      <c r="P83" s="83"/>
      <c r="Q83" s="81"/>
    </row>
    <row r="84" hidden="1" spans="1:17">
      <c r="A84" s="81"/>
      <c r="B84" s="81"/>
      <c r="C84" s="82"/>
      <c r="D84" s="82"/>
      <c r="E84" s="83"/>
      <c r="F84" s="83"/>
      <c r="G84" s="83"/>
      <c r="H84" s="84"/>
      <c r="I84" s="93"/>
      <c r="J84" s="94"/>
      <c r="K84" s="94"/>
      <c r="L84" s="95"/>
      <c r="M84" s="96"/>
      <c r="N84" s="96"/>
      <c r="O84" s="97"/>
      <c r="P84" s="83"/>
      <c r="Q84" s="81"/>
    </row>
    <row r="85" hidden="1" spans="1:17">
      <c r="A85" s="81"/>
      <c r="B85" s="81"/>
      <c r="C85" s="82"/>
      <c r="D85" s="82"/>
      <c r="E85" s="83"/>
      <c r="F85" s="83"/>
      <c r="G85" s="83"/>
      <c r="H85" s="84"/>
      <c r="I85" s="93"/>
      <c r="J85" s="94"/>
      <c r="K85" s="94"/>
      <c r="L85" s="95"/>
      <c r="M85" s="96"/>
      <c r="N85" s="83"/>
      <c r="O85" s="97"/>
      <c r="P85" s="83"/>
      <c r="Q85" s="81"/>
    </row>
    <row r="86" hidden="1" spans="1:17">
      <c r="A86" s="81"/>
      <c r="B86" s="81"/>
      <c r="C86" s="82"/>
      <c r="D86" s="82"/>
      <c r="E86" s="83"/>
      <c r="F86" s="83"/>
      <c r="G86" s="83"/>
      <c r="H86" s="84"/>
      <c r="I86" s="93"/>
      <c r="J86" s="94"/>
      <c r="K86" s="94"/>
      <c r="L86" s="95"/>
      <c r="M86" s="96"/>
      <c r="N86" s="96"/>
      <c r="O86" s="97"/>
      <c r="P86" s="83"/>
      <c r="Q86" s="81"/>
    </row>
    <row r="87" hidden="1" spans="1:17">
      <c r="A87" s="81"/>
      <c r="B87" s="81"/>
      <c r="C87" s="82"/>
      <c r="D87" s="82"/>
      <c r="E87" s="83"/>
      <c r="F87" s="83"/>
      <c r="G87" s="83"/>
      <c r="H87" s="84"/>
      <c r="I87" s="93"/>
      <c r="J87" s="94"/>
      <c r="K87" s="94"/>
      <c r="L87" s="95"/>
      <c r="M87" s="96"/>
      <c r="N87" s="96"/>
      <c r="O87" s="97"/>
      <c r="P87" s="83"/>
      <c r="Q87" s="81"/>
    </row>
    <row r="88" hidden="1" spans="1:17">
      <c r="A88" s="81"/>
      <c r="B88" s="81"/>
      <c r="C88" s="82"/>
      <c r="D88" s="82"/>
      <c r="E88" s="83"/>
      <c r="F88" s="83"/>
      <c r="G88" s="83"/>
      <c r="H88" s="84"/>
      <c r="I88" s="93"/>
      <c r="J88" s="94"/>
      <c r="K88" s="94"/>
      <c r="L88" s="95"/>
      <c r="M88" s="96"/>
      <c r="N88" s="96"/>
      <c r="O88" s="97"/>
      <c r="P88" s="83"/>
      <c r="Q88" s="81"/>
    </row>
    <row r="89" hidden="1" spans="1:17">
      <c r="A89" s="81"/>
      <c r="B89" s="81"/>
      <c r="C89" s="82"/>
      <c r="D89" s="82"/>
      <c r="E89" s="83"/>
      <c r="F89" s="83"/>
      <c r="G89" s="83"/>
      <c r="H89" s="84"/>
      <c r="I89" s="93"/>
      <c r="J89" s="94"/>
      <c r="K89" s="94"/>
      <c r="L89" s="95"/>
      <c r="M89" s="96"/>
      <c r="N89" s="83"/>
      <c r="O89" s="97"/>
      <c r="P89" s="83"/>
      <c r="Q89" s="81"/>
    </row>
    <row r="90" spans="1:17">
      <c r="A90" s="81"/>
      <c r="B90" s="81"/>
      <c r="C90" s="82"/>
      <c r="D90" s="82"/>
      <c r="E90" s="83"/>
      <c r="F90" s="83"/>
      <c r="G90" s="83"/>
      <c r="H90" s="84"/>
      <c r="I90" s="93"/>
      <c r="J90" s="94"/>
      <c r="K90" s="94"/>
      <c r="L90" s="95"/>
      <c r="M90" s="96"/>
      <c r="N90" s="96"/>
      <c r="O90" s="97"/>
      <c r="P90" s="83"/>
      <c r="Q90" s="81"/>
    </row>
    <row r="91" hidden="1" spans="1:17">
      <c r="A91" s="81"/>
      <c r="B91" s="81"/>
      <c r="C91" s="82"/>
      <c r="D91" s="82"/>
      <c r="E91" s="83"/>
      <c r="F91" s="83"/>
      <c r="G91" s="83"/>
      <c r="H91" s="84"/>
      <c r="I91" s="84"/>
      <c r="J91" s="94"/>
      <c r="K91" s="94"/>
      <c r="L91" s="95"/>
      <c r="M91" s="96"/>
      <c r="N91" s="96"/>
      <c r="O91" s="97"/>
      <c r="P91" s="83"/>
      <c r="Q91" s="81"/>
    </row>
    <row r="92" spans="1:17">
      <c r="A92" s="81"/>
      <c r="B92" s="81"/>
      <c r="C92" s="82"/>
      <c r="D92" s="82"/>
      <c r="E92" s="83"/>
      <c r="F92" s="83"/>
      <c r="G92" s="83"/>
      <c r="H92" s="84"/>
      <c r="I92" s="84"/>
      <c r="J92" s="94"/>
      <c r="K92" s="94"/>
      <c r="L92" s="95"/>
      <c r="M92" s="96"/>
      <c r="N92" s="96"/>
      <c r="O92" s="97"/>
      <c r="P92" s="83"/>
      <c r="Q92" s="81"/>
    </row>
    <row r="93" hidden="1" spans="1:17">
      <c r="A93" s="81"/>
      <c r="B93" s="81"/>
      <c r="C93" s="82"/>
      <c r="D93" s="82"/>
      <c r="E93" s="83"/>
      <c r="F93" s="83"/>
      <c r="G93" s="83"/>
      <c r="H93" s="84"/>
      <c r="I93" s="93"/>
      <c r="J93" s="94"/>
      <c r="K93" s="94"/>
      <c r="L93" s="95"/>
      <c r="M93" s="96"/>
      <c r="N93" s="83"/>
      <c r="O93" s="97"/>
      <c r="P93" s="83"/>
      <c r="Q93" s="81"/>
    </row>
    <row r="94" hidden="1" spans="1:17">
      <c r="A94" s="81"/>
      <c r="B94" s="81"/>
      <c r="C94" s="82"/>
      <c r="D94" s="82"/>
      <c r="E94" s="83"/>
      <c r="F94" s="83"/>
      <c r="G94" s="83"/>
      <c r="H94" s="84"/>
      <c r="I94" s="93"/>
      <c r="J94" s="94"/>
      <c r="K94" s="94"/>
      <c r="L94" s="95"/>
      <c r="M94" s="96"/>
      <c r="N94" s="83"/>
      <c r="O94" s="97"/>
      <c r="P94" s="83"/>
      <c r="Q94" s="81"/>
    </row>
    <row r="95" spans="1:17">
      <c r="A95" s="81"/>
      <c r="B95" s="101"/>
      <c r="C95" s="82"/>
      <c r="D95" s="82"/>
      <c r="E95" s="83"/>
      <c r="F95" s="83"/>
      <c r="G95" s="83"/>
      <c r="H95" s="84"/>
      <c r="I95" s="93"/>
      <c r="J95" s="94"/>
      <c r="K95" s="94"/>
      <c r="L95" s="95"/>
      <c r="M95" s="96"/>
      <c r="N95" s="96"/>
      <c r="O95" s="97"/>
      <c r="P95" s="83"/>
      <c r="Q95" s="81"/>
    </row>
    <row r="96" spans="1:17">
      <c r="A96" s="81"/>
      <c r="B96" s="101"/>
      <c r="C96" s="82"/>
      <c r="D96" s="82"/>
      <c r="E96" s="83"/>
      <c r="F96" s="83"/>
      <c r="G96" s="83"/>
      <c r="H96" s="84"/>
      <c r="I96" s="93"/>
      <c r="J96" s="94"/>
      <c r="K96" s="94"/>
      <c r="L96" s="95"/>
      <c r="M96" s="96"/>
      <c r="N96" s="96"/>
      <c r="O96" s="97"/>
      <c r="P96" s="83"/>
      <c r="Q96" s="81"/>
    </row>
    <row r="97" spans="1:17">
      <c r="A97" s="81"/>
      <c r="B97" s="101"/>
      <c r="C97" s="82"/>
      <c r="D97" s="82"/>
      <c r="E97" s="83"/>
      <c r="F97" s="83"/>
      <c r="G97" s="83"/>
      <c r="H97" s="84"/>
      <c r="I97" s="93"/>
      <c r="J97" s="94"/>
      <c r="K97" s="94"/>
      <c r="L97" s="95"/>
      <c r="M97" s="96"/>
      <c r="N97" s="96"/>
      <c r="O97" s="97"/>
      <c r="P97" s="83"/>
      <c r="Q97" s="81"/>
    </row>
    <row r="98" hidden="1" spans="1:17">
      <c r="A98" s="81"/>
      <c r="B98" s="101"/>
      <c r="C98" s="82"/>
      <c r="D98" s="82"/>
      <c r="E98" s="83"/>
      <c r="F98" s="83"/>
      <c r="G98" s="83"/>
      <c r="H98" s="84"/>
      <c r="I98" s="93"/>
      <c r="J98" s="94"/>
      <c r="K98" s="94"/>
      <c r="L98" s="95"/>
      <c r="M98" s="96"/>
      <c r="N98" s="83"/>
      <c r="O98" s="97"/>
      <c r="P98" s="83"/>
      <c r="Q98" s="81"/>
    </row>
    <row r="99" hidden="1" spans="1:17">
      <c r="A99" s="81"/>
      <c r="B99" s="101"/>
      <c r="C99" s="82"/>
      <c r="D99" s="82"/>
      <c r="E99" s="83"/>
      <c r="F99" s="83"/>
      <c r="G99" s="83"/>
      <c r="H99" s="84"/>
      <c r="I99" s="93"/>
      <c r="J99" s="94"/>
      <c r="K99" s="94"/>
      <c r="L99" s="95"/>
      <c r="M99" s="96"/>
      <c r="N99" s="96"/>
      <c r="O99" s="97"/>
      <c r="P99" s="83"/>
      <c r="Q99" s="81"/>
    </row>
    <row r="100" spans="1:17">
      <c r="A100" s="81"/>
      <c r="B100" s="101"/>
      <c r="C100" s="82"/>
      <c r="D100" s="82"/>
      <c r="E100" s="83"/>
      <c r="F100" s="83"/>
      <c r="G100" s="83"/>
      <c r="H100" s="84"/>
      <c r="I100" s="93"/>
      <c r="J100" s="94"/>
      <c r="K100" s="94"/>
      <c r="L100" s="95"/>
      <c r="M100" s="96"/>
      <c r="N100" s="96"/>
      <c r="O100" s="97"/>
      <c r="P100" s="83"/>
      <c r="Q100" s="81"/>
    </row>
    <row r="101" spans="1:17">
      <c r="A101" s="81"/>
      <c r="B101" s="101"/>
      <c r="C101" s="82"/>
      <c r="D101" s="82"/>
      <c r="E101" s="83"/>
      <c r="F101" s="83"/>
      <c r="G101" s="83"/>
      <c r="H101" s="84"/>
      <c r="I101" s="93"/>
      <c r="J101" s="94"/>
      <c r="K101" s="94"/>
      <c r="L101" s="95"/>
      <c r="M101" s="96"/>
      <c r="N101" s="83"/>
      <c r="O101" s="97"/>
      <c r="P101" s="83"/>
      <c r="Q101" s="81"/>
    </row>
    <row r="102" spans="1:17">
      <c r="A102" s="81"/>
      <c r="B102" s="101"/>
      <c r="C102" s="82"/>
      <c r="D102" s="82"/>
      <c r="E102" s="83"/>
      <c r="F102" s="83"/>
      <c r="G102" s="83"/>
      <c r="H102" s="84"/>
      <c r="I102" s="93"/>
      <c r="J102" s="94"/>
      <c r="K102" s="94"/>
      <c r="L102" s="95"/>
      <c r="M102" s="96"/>
      <c r="N102" s="83"/>
      <c r="O102" s="97"/>
      <c r="P102" s="83"/>
      <c r="Q102" s="81"/>
    </row>
    <row r="103" hidden="1" spans="1:17">
      <c r="A103" s="81"/>
      <c r="B103" s="101"/>
      <c r="C103" s="82"/>
      <c r="D103" s="82"/>
      <c r="E103" s="83"/>
      <c r="F103" s="83"/>
      <c r="G103" s="83"/>
      <c r="H103" s="84"/>
      <c r="I103" s="93"/>
      <c r="J103" s="94"/>
      <c r="K103" s="94"/>
      <c r="L103" s="95"/>
      <c r="M103" s="96"/>
      <c r="N103" s="83"/>
      <c r="O103" s="97"/>
      <c r="P103" s="83"/>
      <c r="Q103" s="81"/>
    </row>
    <row r="104" hidden="1" spans="1:17">
      <c r="A104" s="81"/>
      <c r="B104" s="101"/>
      <c r="C104" s="82"/>
      <c r="D104" s="82"/>
      <c r="E104" s="83"/>
      <c r="F104" s="83"/>
      <c r="G104" s="83"/>
      <c r="H104" s="84"/>
      <c r="I104" s="93"/>
      <c r="J104" s="94"/>
      <c r="K104" s="94"/>
      <c r="L104" s="95"/>
      <c r="M104" s="96"/>
      <c r="N104" s="83"/>
      <c r="O104" s="97"/>
      <c r="P104" s="83"/>
      <c r="Q104" s="81"/>
    </row>
    <row r="105" spans="1:17">
      <c r="A105" s="81"/>
      <c r="B105" s="101"/>
      <c r="C105" s="82"/>
      <c r="D105" s="82"/>
      <c r="E105" s="83"/>
      <c r="F105" s="83"/>
      <c r="G105" s="83"/>
      <c r="H105" s="84"/>
      <c r="I105" s="93"/>
      <c r="J105" s="94"/>
      <c r="K105" s="94"/>
      <c r="L105" s="95"/>
      <c r="M105" s="96"/>
      <c r="N105" s="83"/>
      <c r="O105" s="97"/>
      <c r="P105" s="83"/>
      <c r="Q105" s="81"/>
    </row>
    <row r="106" hidden="1" spans="1:17">
      <c r="A106" s="81"/>
      <c r="B106" s="101"/>
      <c r="C106" s="82"/>
      <c r="D106" s="82"/>
      <c r="E106" s="83"/>
      <c r="F106" s="83"/>
      <c r="G106" s="83"/>
      <c r="H106" s="84"/>
      <c r="I106" s="93"/>
      <c r="J106" s="94"/>
      <c r="K106" s="94"/>
      <c r="L106" s="95"/>
      <c r="M106" s="96"/>
      <c r="N106" s="96"/>
      <c r="O106" s="97"/>
      <c r="P106" s="83"/>
      <c r="Q106" s="81"/>
    </row>
    <row r="107" hidden="1" spans="1:17">
      <c r="A107" s="81"/>
      <c r="B107" s="101"/>
      <c r="C107" s="82"/>
      <c r="D107" s="82"/>
      <c r="E107" s="83"/>
      <c r="F107" s="83"/>
      <c r="G107" s="83"/>
      <c r="H107" s="84"/>
      <c r="I107" s="93"/>
      <c r="J107" s="94"/>
      <c r="K107" s="94"/>
      <c r="L107" s="95"/>
      <c r="M107" s="96"/>
      <c r="N107" s="96"/>
      <c r="O107" s="97"/>
      <c r="P107" s="83"/>
      <c r="Q107" s="81"/>
    </row>
    <row r="108" hidden="1" spans="1:17">
      <c r="A108" s="81"/>
      <c r="B108" s="101"/>
      <c r="C108" s="82"/>
      <c r="D108" s="82"/>
      <c r="E108" s="83"/>
      <c r="F108" s="83"/>
      <c r="G108" s="83"/>
      <c r="H108" s="84"/>
      <c r="I108" s="93"/>
      <c r="J108" s="94"/>
      <c r="K108" s="94"/>
      <c r="L108" s="95"/>
      <c r="M108" s="96"/>
      <c r="N108" s="96"/>
      <c r="O108" s="97"/>
      <c r="P108" s="83"/>
      <c r="Q108" s="81"/>
    </row>
    <row r="109" spans="1:17">
      <c r="A109" s="81"/>
      <c r="B109" s="101"/>
      <c r="C109" s="82"/>
      <c r="D109" s="82"/>
      <c r="E109" s="83"/>
      <c r="F109" s="83"/>
      <c r="G109" s="83"/>
      <c r="H109" s="84"/>
      <c r="I109" s="93"/>
      <c r="J109" s="94"/>
      <c r="K109" s="94"/>
      <c r="L109" s="95"/>
      <c r="M109" s="96"/>
      <c r="N109" s="96"/>
      <c r="O109" s="97"/>
      <c r="P109" s="83"/>
      <c r="Q109" s="81"/>
    </row>
    <row r="110" hidden="1" spans="1:17">
      <c r="A110" s="81"/>
      <c r="B110" s="101"/>
      <c r="C110" s="82"/>
      <c r="D110" s="82"/>
      <c r="E110" s="83"/>
      <c r="F110" s="83"/>
      <c r="G110" s="83"/>
      <c r="H110" s="84"/>
      <c r="I110" s="93"/>
      <c r="J110" s="94"/>
      <c r="K110" s="94"/>
      <c r="L110" s="95"/>
      <c r="M110" s="96"/>
      <c r="N110" s="96"/>
      <c r="O110" s="97"/>
      <c r="P110" s="83"/>
      <c r="Q110" s="81"/>
    </row>
    <row r="111" hidden="1" spans="1:17">
      <c r="A111" s="81"/>
      <c r="B111" s="101"/>
      <c r="C111" s="82"/>
      <c r="D111" s="82"/>
      <c r="E111" s="83"/>
      <c r="F111" s="83"/>
      <c r="G111" s="83"/>
      <c r="H111" s="84"/>
      <c r="I111" s="93"/>
      <c r="J111" s="94"/>
      <c r="K111" s="94"/>
      <c r="L111" s="95"/>
      <c r="M111" s="96"/>
      <c r="N111" s="96"/>
      <c r="O111" s="97"/>
      <c r="P111" s="83"/>
      <c r="Q111" s="81"/>
    </row>
    <row r="112" spans="1:17">
      <c r="A112" s="81"/>
      <c r="B112" s="101"/>
      <c r="C112" s="82"/>
      <c r="D112" s="82"/>
      <c r="E112" s="82"/>
      <c r="F112" s="82"/>
      <c r="G112" s="82"/>
      <c r="H112" s="84"/>
      <c r="I112" s="84"/>
      <c r="J112" s="84"/>
      <c r="K112" s="94"/>
      <c r="L112" s="82"/>
      <c r="M112" s="82"/>
      <c r="N112" s="82"/>
      <c r="O112" s="82"/>
      <c r="P112" s="82"/>
      <c r="Q112" s="81"/>
    </row>
    <row r="113" spans="1:17">
      <c r="A113" s="81"/>
      <c r="B113" s="101"/>
      <c r="C113" s="82"/>
      <c r="D113" s="82"/>
      <c r="E113" s="82"/>
      <c r="F113" s="82"/>
      <c r="G113" s="82"/>
      <c r="H113" s="84"/>
      <c r="I113" s="84"/>
      <c r="J113" s="84"/>
      <c r="K113" s="94"/>
      <c r="L113" s="84"/>
      <c r="M113" s="82"/>
      <c r="N113" s="82"/>
      <c r="O113" s="82"/>
      <c r="P113" s="82"/>
      <c r="Q113" s="81"/>
    </row>
    <row r="114" hidden="1" spans="1:17">
      <c r="A114" s="81"/>
      <c r="B114" s="101"/>
      <c r="C114" s="82"/>
      <c r="D114" s="82"/>
      <c r="E114" s="82"/>
      <c r="F114" s="82"/>
      <c r="G114" s="82"/>
      <c r="H114" s="84"/>
      <c r="I114" s="84"/>
      <c r="J114" s="84"/>
      <c r="K114" s="94"/>
      <c r="L114" s="84"/>
      <c r="M114" s="82"/>
      <c r="N114" s="82"/>
      <c r="O114" s="82"/>
      <c r="P114" s="82"/>
      <c r="Q114" s="81"/>
    </row>
    <row r="115" spans="1:17">
      <c r="A115" s="81"/>
      <c r="B115" s="101"/>
      <c r="C115" s="82"/>
      <c r="D115" s="82"/>
      <c r="E115" s="82"/>
      <c r="F115" s="82"/>
      <c r="G115" s="82"/>
      <c r="H115" s="84"/>
      <c r="I115" s="84"/>
      <c r="J115" s="84"/>
      <c r="K115" s="94"/>
      <c r="L115" s="84"/>
      <c r="M115" s="82"/>
      <c r="N115" s="82"/>
      <c r="O115" s="82"/>
      <c r="P115" s="82"/>
      <c r="Q115" s="81"/>
    </row>
    <row r="116" hidden="1" spans="1:17">
      <c r="A116" s="81"/>
      <c r="B116" s="101"/>
      <c r="C116" s="82"/>
      <c r="D116" s="82"/>
      <c r="E116" s="83"/>
      <c r="F116" s="83"/>
      <c r="G116" s="83"/>
      <c r="H116" s="84"/>
      <c r="I116" s="93"/>
      <c r="J116" s="94"/>
      <c r="K116" s="94"/>
      <c r="L116" s="95"/>
      <c r="M116" s="96"/>
      <c r="N116" s="83"/>
      <c r="O116" s="97"/>
      <c r="P116" s="83"/>
      <c r="Q116" s="81"/>
    </row>
    <row r="117" spans="1:17">
      <c r="A117" s="81"/>
      <c r="B117" s="101"/>
      <c r="C117" s="82"/>
      <c r="D117" s="82"/>
      <c r="E117" s="83"/>
      <c r="F117" s="83"/>
      <c r="G117" s="83"/>
      <c r="H117" s="84"/>
      <c r="I117" s="93"/>
      <c r="J117" s="94"/>
      <c r="K117" s="94"/>
      <c r="L117" s="95"/>
      <c r="M117" s="96"/>
      <c r="N117" s="96"/>
      <c r="O117" s="97"/>
      <c r="P117" s="83"/>
      <c r="Q117" s="81"/>
    </row>
    <row r="118" spans="1:17">
      <c r="A118" s="81"/>
      <c r="B118" s="101"/>
      <c r="C118" s="82"/>
      <c r="D118" s="82"/>
      <c r="E118" s="83"/>
      <c r="F118" s="83"/>
      <c r="G118" s="83"/>
      <c r="H118" s="84"/>
      <c r="I118" s="93"/>
      <c r="J118" s="94"/>
      <c r="K118" s="94"/>
      <c r="L118" s="95"/>
      <c r="M118" s="96"/>
      <c r="N118" s="96"/>
      <c r="O118" s="97"/>
      <c r="P118" s="83"/>
      <c r="Q118" s="81"/>
    </row>
    <row r="119" hidden="1" spans="1:17">
      <c r="A119" s="81"/>
      <c r="B119" s="101"/>
      <c r="C119" s="82"/>
      <c r="D119" s="82"/>
      <c r="E119" s="83"/>
      <c r="F119" s="83"/>
      <c r="G119" s="83"/>
      <c r="H119" s="84"/>
      <c r="I119" s="93"/>
      <c r="J119" s="94"/>
      <c r="K119" s="94"/>
      <c r="L119" s="95"/>
      <c r="M119" s="96"/>
      <c r="N119" s="83"/>
      <c r="O119" s="97"/>
      <c r="P119" s="83"/>
      <c r="Q119" s="81"/>
    </row>
    <row r="120" spans="1:17">
      <c r="A120" s="81"/>
      <c r="B120" s="101"/>
      <c r="C120" s="82"/>
      <c r="D120" s="82"/>
      <c r="E120" s="83"/>
      <c r="F120" s="83"/>
      <c r="G120" s="83"/>
      <c r="H120" s="84"/>
      <c r="I120" s="93"/>
      <c r="J120" s="94"/>
      <c r="K120" s="94"/>
      <c r="L120" s="95"/>
      <c r="M120" s="96"/>
      <c r="N120" s="96"/>
      <c r="O120" s="97"/>
      <c r="P120" s="83"/>
      <c r="Q120" s="81"/>
    </row>
    <row r="121" spans="1:17">
      <c r="A121" s="81"/>
      <c r="B121" s="101"/>
      <c r="C121" s="82"/>
      <c r="D121" s="82"/>
      <c r="E121" s="83"/>
      <c r="F121" s="83"/>
      <c r="G121" s="83"/>
      <c r="H121" s="84"/>
      <c r="I121" s="93"/>
      <c r="J121" s="94"/>
      <c r="K121" s="94"/>
      <c r="L121" s="95"/>
      <c r="M121" s="96"/>
      <c r="N121" s="96"/>
      <c r="O121" s="97"/>
      <c r="P121" s="83"/>
      <c r="Q121" s="81"/>
    </row>
    <row r="122" hidden="1" spans="1:17">
      <c r="A122" s="81"/>
      <c r="B122" s="101"/>
      <c r="C122" s="82"/>
      <c r="D122" s="82"/>
      <c r="E122" s="83"/>
      <c r="F122" s="83"/>
      <c r="G122" s="115"/>
      <c r="H122" s="84"/>
      <c r="I122" s="93"/>
      <c r="J122" s="94"/>
      <c r="K122" s="94"/>
      <c r="L122" s="95"/>
      <c r="M122" s="96"/>
      <c r="N122" s="83"/>
      <c r="O122" s="97"/>
      <c r="P122" s="83"/>
      <c r="Q122" s="81"/>
    </row>
    <row r="123" hidden="1" spans="1:17">
      <c r="A123" s="81"/>
      <c r="B123" s="101"/>
      <c r="C123" s="82"/>
      <c r="D123" s="82"/>
      <c r="E123" s="83"/>
      <c r="F123" s="83"/>
      <c r="G123" s="83"/>
      <c r="H123" s="84"/>
      <c r="I123" s="93"/>
      <c r="J123" s="94"/>
      <c r="K123" s="94"/>
      <c r="L123" s="95"/>
      <c r="M123" s="96"/>
      <c r="N123" s="96"/>
      <c r="O123" s="97"/>
      <c r="P123" s="83"/>
      <c r="Q123" s="81"/>
    </row>
    <row r="124" hidden="1" spans="1:17">
      <c r="A124" s="81"/>
      <c r="B124" s="101"/>
      <c r="C124" s="82"/>
      <c r="D124" s="82"/>
      <c r="E124" s="83"/>
      <c r="F124" s="83"/>
      <c r="G124" s="115"/>
      <c r="H124" s="84"/>
      <c r="I124" s="93"/>
      <c r="J124" s="94"/>
      <c r="K124" s="94"/>
      <c r="L124" s="95"/>
      <c r="M124" s="96"/>
      <c r="N124" s="96"/>
      <c r="O124" s="97"/>
      <c r="P124" s="83"/>
      <c r="Q124" s="81"/>
    </row>
    <row r="125" spans="1:17">
      <c r="A125" s="81"/>
      <c r="B125" s="101"/>
      <c r="C125" s="82"/>
      <c r="D125" s="82"/>
      <c r="E125" s="83"/>
      <c r="F125" s="83"/>
      <c r="G125" s="115"/>
      <c r="H125" s="84"/>
      <c r="I125" s="93"/>
      <c r="J125" s="94"/>
      <c r="K125" s="94"/>
      <c r="L125" s="95"/>
      <c r="M125" s="96"/>
      <c r="N125" s="96"/>
      <c r="O125" s="97"/>
      <c r="P125" s="83"/>
      <c r="Q125" s="81"/>
    </row>
    <row r="126" spans="1:17">
      <c r="A126" s="81"/>
      <c r="B126" s="101"/>
      <c r="C126" s="82"/>
      <c r="D126" s="82"/>
      <c r="E126" s="83"/>
      <c r="F126" s="83"/>
      <c r="G126" s="83"/>
      <c r="H126" s="84"/>
      <c r="I126" s="84"/>
      <c r="J126" s="94"/>
      <c r="K126" s="94"/>
      <c r="L126" s="95"/>
      <c r="M126" s="96"/>
      <c r="N126" s="96"/>
      <c r="O126" s="97"/>
      <c r="P126" s="83"/>
      <c r="Q126" s="81"/>
    </row>
    <row r="127" spans="1:17">
      <c r="A127" s="81"/>
      <c r="B127" s="101"/>
      <c r="C127" s="82"/>
      <c r="D127" s="82"/>
      <c r="E127" s="83"/>
      <c r="F127" s="83"/>
      <c r="G127" s="83"/>
      <c r="H127" s="84"/>
      <c r="I127" s="84"/>
      <c r="J127" s="94"/>
      <c r="K127" s="94"/>
      <c r="L127" s="95"/>
      <c r="M127" s="96"/>
      <c r="N127" s="96"/>
      <c r="O127" s="97"/>
      <c r="P127" s="83"/>
      <c r="Q127" s="81"/>
    </row>
    <row r="128" hidden="1" spans="1:17">
      <c r="A128" s="81"/>
      <c r="B128" s="101"/>
      <c r="C128" s="82"/>
      <c r="D128" s="82"/>
      <c r="E128" s="83"/>
      <c r="F128" s="83"/>
      <c r="G128" s="115"/>
      <c r="H128" s="84"/>
      <c r="I128" s="93"/>
      <c r="J128" s="94"/>
      <c r="K128" s="94"/>
      <c r="L128" s="95"/>
      <c r="M128" s="96"/>
      <c r="N128" s="96"/>
      <c r="O128" s="97"/>
      <c r="P128" s="83"/>
      <c r="Q128" s="81"/>
    </row>
    <row r="129" spans="1:17">
      <c r="A129" s="81"/>
      <c r="B129" s="101"/>
      <c r="C129" s="82"/>
      <c r="D129" s="82"/>
      <c r="E129" s="83"/>
      <c r="F129" s="83"/>
      <c r="G129" s="115"/>
      <c r="H129" s="84"/>
      <c r="I129" s="93"/>
      <c r="J129" s="94"/>
      <c r="K129" s="94"/>
      <c r="L129" s="95"/>
      <c r="M129" s="96"/>
      <c r="N129" s="96"/>
      <c r="O129" s="97"/>
      <c r="P129" s="83"/>
      <c r="Q129" s="81"/>
    </row>
    <row r="130" spans="1:17">
      <c r="A130" s="81"/>
      <c r="B130" s="101"/>
      <c r="C130" s="82"/>
      <c r="D130" s="82"/>
      <c r="E130" s="83"/>
      <c r="F130" s="83"/>
      <c r="G130" s="115"/>
      <c r="H130" s="84"/>
      <c r="I130" s="93"/>
      <c r="J130" s="94"/>
      <c r="K130" s="94"/>
      <c r="L130" s="95"/>
      <c r="M130" s="96"/>
      <c r="N130" s="96"/>
      <c r="O130" s="97"/>
      <c r="P130" s="83"/>
      <c r="Q130" s="81"/>
    </row>
    <row r="131" spans="1:17">
      <c r="A131" s="81"/>
      <c r="B131" s="101"/>
      <c r="C131" s="82"/>
      <c r="D131" s="82"/>
      <c r="E131" s="83"/>
      <c r="F131" s="83"/>
      <c r="G131" s="115"/>
      <c r="H131" s="84"/>
      <c r="I131" s="93"/>
      <c r="J131" s="94"/>
      <c r="K131" s="94"/>
      <c r="L131" s="95"/>
      <c r="M131" s="96"/>
      <c r="N131" s="96"/>
      <c r="O131" s="97"/>
      <c r="P131" s="83"/>
      <c r="Q131" s="81"/>
    </row>
    <row r="132" hidden="1" spans="1:17">
      <c r="A132" s="81"/>
      <c r="B132" s="101"/>
      <c r="C132" s="82"/>
      <c r="D132" s="82"/>
      <c r="E132" s="83"/>
      <c r="F132" s="83"/>
      <c r="G132" s="83"/>
      <c r="H132" s="84"/>
      <c r="I132" s="93"/>
      <c r="J132" s="94"/>
      <c r="K132" s="94"/>
      <c r="L132" s="95"/>
      <c r="M132" s="96"/>
      <c r="N132" s="96"/>
      <c r="O132" s="97"/>
      <c r="P132" s="83"/>
      <c r="Q132" s="81"/>
    </row>
    <row r="133" spans="1:17">
      <c r="A133" s="81"/>
      <c r="B133" s="101"/>
      <c r="C133" s="82"/>
      <c r="D133" s="82"/>
      <c r="E133" s="83"/>
      <c r="F133" s="83"/>
      <c r="G133" s="83"/>
      <c r="H133" s="84"/>
      <c r="I133" s="93"/>
      <c r="J133" s="94"/>
      <c r="K133" s="94"/>
      <c r="L133" s="95"/>
      <c r="M133" s="96"/>
      <c r="N133" s="96"/>
      <c r="O133" s="97"/>
      <c r="P133" s="83"/>
      <c r="Q133" s="81"/>
    </row>
    <row r="134" spans="1:17">
      <c r="A134" s="81"/>
      <c r="B134" s="101"/>
      <c r="C134" s="82"/>
      <c r="D134" s="82"/>
      <c r="E134" s="83"/>
      <c r="F134" s="83"/>
      <c r="G134" s="83"/>
      <c r="H134" s="84"/>
      <c r="I134" s="93"/>
      <c r="J134" s="94"/>
      <c r="K134" s="94"/>
      <c r="L134" s="95"/>
      <c r="M134" s="96"/>
      <c r="N134" s="96"/>
      <c r="O134" s="97"/>
      <c r="P134" s="83"/>
      <c r="Q134" s="81"/>
    </row>
    <row r="135" hidden="1" spans="1:17">
      <c r="A135" s="81"/>
      <c r="B135" s="101"/>
      <c r="C135" s="82"/>
      <c r="D135" s="82"/>
      <c r="E135" s="83"/>
      <c r="F135" s="83"/>
      <c r="G135" s="83"/>
      <c r="H135" s="84"/>
      <c r="I135" s="93"/>
      <c r="J135" s="94"/>
      <c r="K135" s="94"/>
      <c r="L135" s="95"/>
      <c r="M135" s="96"/>
      <c r="N135" s="96"/>
      <c r="O135" s="97"/>
      <c r="P135" s="83"/>
      <c r="Q135" s="81"/>
    </row>
    <row r="136" hidden="1" spans="1:17">
      <c r="A136" s="81"/>
      <c r="B136" s="101"/>
      <c r="C136" s="82"/>
      <c r="D136" s="82"/>
      <c r="E136" s="83"/>
      <c r="F136" s="83"/>
      <c r="G136" s="83"/>
      <c r="H136" s="84"/>
      <c r="I136" s="93"/>
      <c r="J136" s="94"/>
      <c r="K136" s="94"/>
      <c r="L136" s="95"/>
      <c r="M136" s="96"/>
      <c r="N136" s="96"/>
      <c r="O136" s="97"/>
      <c r="P136" s="83"/>
      <c r="Q136" s="81"/>
    </row>
    <row r="137" hidden="1" spans="1:17">
      <c r="A137" s="81"/>
      <c r="B137" s="101"/>
      <c r="C137" s="82"/>
      <c r="D137" s="82"/>
      <c r="E137" s="83"/>
      <c r="F137" s="83"/>
      <c r="G137" s="83"/>
      <c r="H137" s="84"/>
      <c r="I137" s="93"/>
      <c r="J137" s="94"/>
      <c r="K137" s="94"/>
      <c r="L137" s="95"/>
      <c r="M137" s="96"/>
      <c r="N137" s="96"/>
      <c r="O137" s="97"/>
      <c r="P137" s="83"/>
      <c r="Q137" s="81"/>
    </row>
    <row r="138" spans="1:17">
      <c r="A138" s="81"/>
      <c r="B138" s="101"/>
      <c r="C138" s="82"/>
      <c r="D138" s="82"/>
      <c r="E138" s="83"/>
      <c r="F138" s="83"/>
      <c r="G138" s="83"/>
      <c r="H138" s="84"/>
      <c r="I138" s="93"/>
      <c r="J138" s="94"/>
      <c r="K138" s="94"/>
      <c r="L138" s="95"/>
      <c r="M138" s="96"/>
      <c r="N138" s="96"/>
      <c r="O138" s="97"/>
      <c r="P138" s="83"/>
      <c r="Q138" s="81"/>
    </row>
    <row r="139" spans="1:17">
      <c r="A139" s="81"/>
      <c r="B139" s="101"/>
      <c r="C139" s="82"/>
      <c r="D139" s="82"/>
      <c r="E139" s="83"/>
      <c r="F139" s="83"/>
      <c r="G139" s="83"/>
      <c r="H139" s="84"/>
      <c r="I139" s="93"/>
      <c r="J139" s="94"/>
      <c r="K139" s="94"/>
      <c r="L139" s="95"/>
      <c r="M139" s="96"/>
      <c r="N139" s="96"/>
      <c r="O139" s="97"/>
      <c r="P139" s="83"/>
      <c r="Q139" s="81"/>
    </row>
    <row r="140" hidden="1" spans="1:17">
      <c r="A140" s="81"/>
      <c r="B140" s="101"/>
      <c r="C140" s="82"/>
      <c r="D140" s="82"/>
      <c r="E140" s="83"/>
      <c r="F140" s="83"/>
      <c r="G140" s="83"/>
      <c r="H140" s="84"/>
      <c r="I140" s="93"/>
      <c r="J140" s="94"/>
      <c r="K140" s="94"/>
      <c r="L140" s="95"/>
      <c r="M140" s="96"/>
      <c r="N140" s="96"/>
      <c r="O140" s="97"/>
      <c r="P140" s="83"/>
      <c r="Q140" s="81"/>
    </row>
    <row r="141" hidden="1" spans="1:17">
      <c r="A141" s="81"/>
      <c r="B141" s="101"/>
      <c r="C141" s="82"/>
      <c r="D141" s="82"/>
      <c r="E141" s="83"/>
      <c r="F141" s="83"/>
      <c r="G141" s="83"/>
      <c r="H141" s="84"/>
      <c r="I141" s="93"/>
      <c r="J141" s="94"/>
      <c r="K141" s="94"/>
      <c r="L141" s="95"/>
      <c r="M141" s="96"/>
      <c r="N141" s="96"/>
      <c r="O141" s="97"/>
      <c r="P141" s="83"/>
      <c r="Q141" s="81"/>
    </row>
    <row r="142" hidden="1" spans="1:17">
      <c r="A142" s="81"/>
      <c r="B142" s="101"/>
      <c r="C142" s="82"/>
      <c r="D142" s="82"/>
      <c r="E142" s="83"/>
      <c r="F142" s="83"/>
      <c r="G142" s="115"/>
      <c r="H142" s="84"/>
      <c r="I142" s="93"/>
      <c r="J142" s="94"/>
      <c r="K142" s="94"/>
      <c r="L142" s="95"/>
      <c r="M142" s="96"/>
      <c r="N142" s="96"/>
      <c r="O142" s="97"/>
      <c r="P142" s="83"/>
      <c r="Q142" s="81"/>
    </row>
    <row r="143" hidden="1" spans="1:17">
      <c r="A143" s="81"/>
      <c r="B143" s="101"/>
      <c r="C143" s="82"/>
      <c r="D143" s="82"/>
      <c r="E143" s="83"/>
      <c r="F143" s="83"/>
      <c r="G143" s="115"/>
      <c r="H143" s="84"/>
      <c r="I143" s="93"/>
      <c r="J143" s="94"/>
      <c r="K143" s="94"/>
      <c r="L143" s="95"/>
      <c r="M143" s="96"/>
      <c r="N143" s="96"/>
      <c r="O143" s="97"/>
      <c r="P143" s="83"/>
      <c r="Q143" s="81"/>
    </row>
    <row r="144" hidden="1" spans="1:17">
      <c r="A144" s="81"/>
      <c r="B144" s="101"/>
      <c r="C144" s="82"/>
      <c r="D144" s="82"/>
      <c r="E144" s="83"/>
      <c r="F144" s="83"/>
      <c r="G144" s="115"/>
      <c r="H144" s="84"/>
      <c r="I144" s="93"/>
      <c r="J144" s="94"/>
      <c r="K144" s="94"/>
      <c r="L144" s="95"/>
      <c r="M144" s="96"/>
      <c r="N144" s="96"/>
      <c r="O144" s="97"/>
      <c r="P144" s="83"/>
      <c r="Q144" s="81"/>
    </row>
    <row r="145" spans="1:17">
      <c r="A145" s="81"/>
      <c r="B145" s="101"/>
      <c r="C145" s="82"/>
      <c r="D145" s="82"/>
      <c r="E145" s="83"/>
      <c r="F145" s="83"/>
      <c r="G145" s="115"/>
      <c r="H145" s="84"/>
      <c r="I145" s="93"/>
      <c r="J145" s="94"/>
      <c r="K145" s="94"/>
      <c r="L145" s="95"/>
      <c r="M145" s="96"/>
      <c r="N145" s="96"/>
      <c r="O145" s="97"/>
      <c r="P145" s="83"/>
      <c r="Q145" s="81"/>
    </row>
    <row r="146" hidden="1" spans="1:17">
      <c r="A146" s="81"/>
      <c r="B146" s="101"/>
      <c r="C146" s="82"/>
      <c r="D146" s="82"/>
      <c r="E146" s="83"/>
      <c r="F146" s="83"/>
      <c r="G146" s="83"/>
      <c r="H146" s="84"/>
      <c r="I146" s="93"/>
      <c r="J146" s="94"/>
      <c r="K146" s="94"/>
      <c r="L146" s="95"/>
      <c r="M146" s="96"/>
      <c r="N146" s="96"/>
      <c r="O146" s="97"/>
      <c r="P146" s="83"/>
      <c r="Q146" s="81"/>
    </row>
    <row r="147" hidden="1" spans="1:17">
      <c r="A147" s="81"/>
      <c r="B147" s="101"/>
      <c r="C147" s="82"/>
      <c r="D147" s="82"/>
      <c r="E147" s="83"/>
      <c r="F147" s="83"/>
      <c r="G147" s="83"/>
      <c r="H147" s="84"/>
      <c r="I147" s="93"/>
      <c r="J147" s="94"/>
      <c r="K147" s="94"/>
      <c r="L147" s="95"/>
      <c r="M147" s="96"/>
      <c r="N147" s="96"/>
      <c r="O147" s="97"/>
      <c r="P147" s="83"/>
      <c r="Q147" s="81"/>
    </row>
    <row r="148" hidden="1" spans="1:17">
      <c r="A148" s="81"/>
      <c r="B148" s="101"/>
      <c r="C148" s="82"/>
      <c r="D148" s="82"/>
      <c r="E148" s="83"/>
      <c r="F148" s="83"/>
      <c r="G148" s="83"/>
      <c r="H148" s="84"/>
      <c r="I148" s="93"/>
      <c r="J148" s="94"/>
      <c r="K148" s="94"/>
      <c r="L148" s="95"/>
      <c r="M148" s="96"/>
      <c r="N148" s="96"/>
      <c r="O148" s="97"/>
      <c r="P148" s="83"/>
      <c r="Q148" s="81"/>
    </row>
    <row r="149" hidden="1" spans="1:17">
      <c r="A149" s="81"/>
      <c r="B149" s="101"/>
      <c r="C149" s="82"/>
      <c r="D149" s="82"/>
      <c r="E149" s="83"/>
      <c r="F149" s="83"/>
      <c r="G149" s="83"/>
      <c r="H149" s="84"/>
      <c r="I149" s="93"/>
      <c r="J149" s="94"/>
      <c r="K149" s="94"/>
      <c r="L149" s="95"/>
      <c r="M149" s="96"/>
      <c r="N149" s="96"/>
      <c r="O149" s="97"/>
      <c r="P149" s="83"/>
      <c r="Q149" s="81"/>
    </row>
    <row r="150" spans="1:17">
      <c r="A150" s="81"/>
      <c r="B150" s="101"/>
      <c r="C150" s="82"/>
      <c r="D150" s="82"/>
      <c r="E150" s="83"/>
      <c r="F150" s="83"/>
      <c r="G150" s="83"/>
      <c r="H150" s="84"/>
      <c r="I150" s="93"/>
      <c r="J150" s="94"/>
      <c r="K150" s="94"/>
      <c r="L150" s="95"/>
      <c r="M150" s="96"/>
      <c r="N150" s="96"/>
      <c r="O150" s="97"/>
      <c r="P150" s="83"/>
      <c r="Q150" s="81"/>
    </row>
    <row r="151" spans="1:17">
      <c r="A151" s="81"/>
      <c r="B151" s="101"/>
      <c r="C151" s="82"/>
      <c r="D151" s="82"/>
      <c r="E151" s="83"/>
      <c r="F151" s="83"/>
      <c r="G151" s="83"/>
      <c r="H151" s="84"/>
      <c r="I151" s="93"/>
      <c r="J151" s="94"/>
      <c r="K151" s="94"/>
      <c r="L151" s="95"/>
      <c r="M151" s="96"/>
      <c r="N151" s="96"/>
      <c r="O151" s="97"/>
      <c r="P151" s="83"/>
      <c r="Q151" s="81"/>
    </row>
    <row r="152" spans="1:17">
      <c r="A152" s="81"/>
      <c r="B152" s="101"/>
      <c r="C152" s="82"/>
      <c r="D152" s="82"/>
      <c r="E152" s="83"/>
      <c r="F152" s="83"/>
      <c r="G152" s="83"/>
      <c r="H152" s="84"/>
      <c r="I152" s="93"/>
      <c r="J152" s="94"/>
      <c r="K152" s="94"/>
      <c r="L152" s="95"/>
      <c r="M152" s="96"/>
      <c r="N152" s="96"/>
      <c r="O152" s="97"/>
      <c r="P152" s="83"/>
      <c r="Q152" s="81"/>
    </row>
    <row r="153" spans="1:17">
      <c r="A153" s="81"/>
      <c r="B153" s="101"/>
      <c r="C153" s="82"/>
      <c r="D153" s="82"/>
      <c r="E153" s="83"/>
      <c r="F153" s="83"/>
      <c r="G153" s="83"/>
      <c r="H153" s="84"/>
      <c r="I153" s="93"/>
      <c r="J153" s="94"/>
      <c r="K153" s="94"/>
      <c r="L153" s="95"/>
      <c r="M153" s="96"/>
      <c r="N153" s="96"/>
      <c r="O153" s="97"/>
      <c r="P153" s="83"/>
      <c r="Q153" s="81"/>
    </row>
    <row r="154" spans="1:17">
      <c r="A154" s="81"/>
      <c r="B154" s="101"/>
      <c r="C154" s="82"/>
      <c r="D154" s="82"/>
      <c r="E154" s="83"/>
      <c r="F154" s="83"/>
      <c r="G154" s="83"/>
      <c r="H154" s="84"/>
      <c r="I154" s="93"/>
      <c r="J154" s="94"/>
      <c r="K154" s="94"/>
      <c r="L154" s="95"/>
      <c r="M154" s="96"/>
      <c r="N154" s="83"/>
      <c r="O154" s="97"/>
      <c r="P154" s="83"/>
      <c r="Q154" s="81"/>
    </row>
    <row r="155" spans="1:17">
      <c r="A155" s="81"/>
      <c r="B155" s="101"/>
      <c r="C155" s="82"/>
      <c r="D155" s="82"/>
      <c r="E155" s="83"/>
      <c r="F155" s="83"/>
      <c r="G155" s="83"/>
      <c r="H155" s="84"/>
      <c r="I155" s="93"/>
      <c r="J155" s="94"/>
      <c r="K155" s="94"/>
      <c r="L155" s="95"/>
      <c r="M155" s="96"/>
      <c r="N155" s="83"/>
      <c r="O155" s="97"/>
      <c r="P155" s="83"/>
      <c r="Q155" s="81"/>
    </row>
    <row r="156" hidden="1" spans="1:17">
      <c r="A156" s="81"/>
      <c r="B156" s="101"/>
      <c r="C156" s="82"/>
      <c r="D156" s="82"/>
      <c r="E156" s="83"/>
      <c r="F156" s="83"/>
      <c r="G156" s="83"/>
      <c r="H156" s="84"/>
      <c r="I156" s="93"/>
      <c r="J156" s="94"/>
      <c r="K156" s="94"/>
      <c r="L156" s="95"/>
      <c r="M156" s="96"/>
      <c r="N156" s="96"/>
      <c r="O156" s="97"/>
      <c r="P156" s="83"/>
      <c r="Q156" s="81"/>
    </row>
    <row r="157" hidden="1" spans="1:17">
      <c r="A157" s="81"/>
      <c r="B157" s="101"/>
      <c r="C157" s="82"/>
      <c r="D157" s="82"/>
      <c r="E157" s="83"/>
      <c r="F157" s="83"/>
      <c r="G157" s="83"/>
      <c r="H157" s="84"/>
      <c r="I157" s="93"/>
      <c r="J157" s="94"/>
      <c r="K157" s="94"/>
      <c r="L157" s="95"/>
      <c r="M157" s="96"/>
      <c r="N157" s="96"/>
      <c r="O157" s="97"/>
      <c r="P157" s="83"/>
      <c r="Q157" s="81"/>
    </row>
    <row r="158" hidden="1" spans="1:17">
      <c r="A158" s="81"/>
      <c r="B158" s="101"/>
      <c r="C158" s="82"/>
      <c r="D158" s="82"/>
      <c r="E158" s="83"/>
      <c r="F158" s="83"/>
      <c r="G158" s="83"/>
      <c r="H158" s="84"/>
      <c r="I158" s="93"/>
      <c r="J158" s="94"/>
      <c r="K158" s="94"/>
      <c r="L158" s="95"/>
      <c r="M158" s="96"/>
      <c r="N158" s="96"/>
      <c r="O158" s="97"/>
      <c r="P158" s="83"/>
      <c r="Q158" s="81"/>
    </row>
    <row r="159" hidden="1" spans="1:17">
      <c r="A159" s="81"/>
      <c r="B159" s="101"/>
      <c r="C159" s="82"/>
      <c r="D159" s="82"/>
      <c r="E159" s="83"/>
      <c r="F159" s="83"/>
      <c r="G159" s="83"/>
      <c r="H159" s="84"/>
      <c r="I159" s="93"/>
      <c r="J159" s="94"/>
      <c r="K159" s="94"/>
      <c r="L159" s="95"/>
      <c r="M159" s="96"/>
      <c r="N159" s="96"/>
      <c r="O159" s="97"/>
      <c r="P159" s="83"/>
      <c r="Q159" s="81"/>
    </row>
    <row r="160" hidden="1" spans="1:17">
      <c r="A160" s="81"/>
      <c r="B160" s="101"/>
      <c r="C160" s="82"/>
      <c r="D160" s="82"/>
      <c r="E160" s="83"/>
      <c r="F160" s="83"/>
      <c r="G160" s="83"/>
      <c r="H160" s="84"/>
      <c r="I160" s="93"/>
      <c r="J160" s="94"/>
      <c r="K160" s="94"/>
      <c r="L160" s="95"/>
      <c r="M160" s="96"/>
      <c r="N160" s="96"/>
      <c r="O160" s="97"/>
      <c r="P160" s="83"/>
      <c r="Q160" s="81"/>
    </row>
    <row r="161" hidden="1" spans="1:17">
      <c r="A161" s="81"/>
      <c r="B161" s="101"/>
      <c r="C161" s="82"/>
      <c r="D161" s="82"/>
      <c r="E161" s="83"/>
      <c r="F161" s="83"/>
      <c r="G161" s="83"/>
      <c r="H161" s="84"/>
      <c r="I161" s="93"/>
      <c r="J161" s="94"/>
      <c r="K161" s="94"/>
      <c r="L161" s="95"/>
      <c r="M161" s="96"/>
      <c r="N161" s="96"/>
      <c r="O161" s="97"/>
      <c r="P161" s="83"/>
      <c r="Q161" s="81"/>
    </row>
    <row r="162" hidden="1" spans="1:17">
      <c r="A162" s="81"/>
      <c r="B162" s="101"/>
      <c r="C162" s="82"/>
      <c r="D162" s="82"/>
      <c r="E162" s="83"/>
      <c r="F162" s="83"/>
      <c r="G162" s="83"/>
      <c r="H162" s="84"/>
      <c r="I162" s="93"/>
      <c r="J162" s="94"/>
      <c r="K162" s="94"/>
      <c r="L162" s="95"/>
      <c r="M162" s="96"/>
      <c r="N162" s="96"/>
      <c r="O162" s="97"/>
      <c r="P162" s="83"/>
      <c r="Q162" s="81"/>
    </row>
    <row r="163" hidden="1" spans="1:17">
      <c r="A163" s="81"/>
      <c r="B163" s="101"/>
      <c r="C163" s="82"/>
      <c r="D163" s="82"/>
      <c r="E163" s="83"/>
      <c r="F163" s="83"/>
      <c r="G163" s="83"/>
      <c r="H163" s="84"/>
      <c r="I163" s="93"/>
      <c r="J163" s="94"/>
      <c r="K163" s="94"/>
      <c r="L163" s="95"/>
      <c r="M163" s="96"/>
      <c r="N163" s="96"/>
      <c r="O163" s="97"/>
      <c r="P163" s="83"/>
      <c r="Q163" s="81"/>
    </row>
    <row r="164" spans="1:17">
      <c r="A164" s="81"/>
      <c r="B164" s="81"/>
      <c r="C164" s="82"/>
      <c r="D164" s="82"/>
      <c r="E164" s="83"/>
      <c r="F164" s="83"/>
      <c r="G164" s="83"/>
      <c r="H164" s="84"/>
      <c r="I164" s="93"/>
      <c r="J164" s="94"/>
      <c r="K164" s="94"/>
      <c r="L164" s="95"/>
      <c r="M164" s="96"/>
      <c r="N164" s="96"/>
      <c r="O164" s="97"/>
      <c r="P164" s="83"/>
      <c r="Q164" s="81"/>
    </row>
    <row r="165" hidden="1" spans="1:17">
      <c r="A165" s="81"/>
      <c r="B165" s="101"/>
      <c r="C165" s="82"/>
      <c r="D165" s="82"/>
      <c r="E165" s="83"/>
      <c r="F165" s="83"/>
      <c r="G165" s="83"/>
      <c r="H165" s="84"/>
      <c r="I165" s="93"/>
      <c r="J165" s="94"/>
      <c r="K165" s="94"/>
      <c r="L165" s="95"/>
      <c r="M165" s="96"/>
      <c r="N165" s="83"/>
      <c r="O165" s="97"/>
      <c r="P165" s="83"/>
      <c r="Q165" s="81"/>
    </row>
    <row r="166" hidden="1" spans="1:17">
      <c r="A166" s="81"/>
      <c r="B166" s="101"/>
      <c r="C166" s="82"/>
      <c r="D166" s="82"/>
      <c r="E166" s="83"/>
      <c r="F166" s="83"/>
      <c r="G166" s="83"/>
      <c r="H166" s="84"/>
      <c r="I166" s="93"/>
      <c r="J166" s="94"/>
      <c r="K166" s="94"/>
      <c r="L166" s="95"/>
      <c r="M166" s="96"/>
      <c r="N166" s="83"/>
      <c r="O166" s="97"/>
      <c r="P166" s="83"/>
      <c r="Q166" s="81"/>
    </row>
    <row r="167" hidden="1" spans="1:17">
      <c r="A167" s="81"/>
      <c r="B167" s="101"/>
      <c r="C167" s="82"/>
      <c r="D167" s="82"/>
      <c r="E167" s="83"/>
      <c r="F167" s="83"/>
      <c r="G167" s="83"/>
      <c r="H167" s="84"/>
      <c r="I167" s="93"/>
      <c r="J167" s="94"/>
      <c r="K167" s="94"/>
      <c r="L167" s="95"/>
      <c r="M167" s="96"/>
      <c r="N167" s="83"/>
      <c r="O167" s="97"/>
      <c r="P167" s="83"/>
      <c r="Q167" s="81"/>
    </row>
    <row r="168" hidden="1" spans="1:17">
      <c r="A168" s="81"/>
      <c r="B168" s="101"/>
      <c r="C168" s="82"/>
      <c r="D168" s="82"/>
      <c r="E168" s="83"/>
      <c r="F168" s="83"/>
      <c r="G168" s="83"/>
      <c r="H168" s="84"/>
      <c r="I168" s="93"/>
      <c r="J168" s="94"/>
      <c r="K168" s="94"/>
      <c r="L168" s="95"/>
      <c r="M168" s="96"/>
      <c r="N168" s="83"/>
      <c r="O168" s="97"/>
      <c r="P168" s="83"/>
      <c r="Q168" s="81"/>
    </row>
    <row r="169" spans="1:17">
      <c r="A169" s="81"/>
      <c r="B169" s="101"/>
      <c r="C169" s="82"/>
      <c r="D169" s="82"/>
      <c r="E169" s="83"/>
      <c r="F169" s="83"/>
      <c r="G169" s="83"/>
      <c r="H169" s="84"/>
      <c r="I169" s="93"/>
      <c r="J169" s="94"/>
      <c r="K169" s="94"/>
      <c r="L169" s="95"/>
      <c r="M169" s="96"/>
      <c r="N169" s="83"/>
      <c r="O169" s="97"/>
      <c r="P169" s="83"/>
      <c r="Q169" s="81"/>
    </row>
    <row r="170" hidden="1" spans="1:17">
      <c r="A170" s="81"/>
      <c r="B170" s="101"/>
      <c r="C170" s="82"/>
      <c r="D170" s="82"/>
      <c r="E170" s="83"/>
      <c r="F170" s="83"/>
      <c r="G170" s="83"/>
      <c r="H170" s="84"/>
      <c r="I170" s="93"/>
      <c r="J170" s="94"/>
      <c r="K170" s="94"/>
      <c r="L170" s="95"/>
      <c r="M170" s="96"/>
      <c r="N170" s="83"/>
      <c r="O170" s="97"/>
      <c r="P170" s="83"/>
      <c r="Q170" s="81"/>
    </row>
    <row r="171" hidden="1" spans="1:17">
      <c r="A171" s="81"/>
      <c r="B171" s="101"/>
      <c r="C171" s="82"/>
      <c r="D171" s="82"/>
      <c r="E171" s="83"/>
      <c r="F171" s="83"/>
      <c r="G171" s="83"/>
      <c r="H171" s="84"/>
      <c r="I171" s="93"/>
      <c r="J171" s="94"/>
      <c r="K171" s="94"/>
      <c r="L171" s="95"/>
      <c r="M171" s="96"/>
      <c r="N171" s="83"/>
      <c r="O171" s="97"/>
      <c r="P171" s="83"/>
      <c r="Q171" s="81"/>
    </row>
    <row r="172" hidden="1" spans="1:17">
      <c r="A172" s="81"/>
      <c r="B172" s="101"/>
      <c r="C172" s="82"/>
      <c r="D172" s="82"/>
      <c r="E172" s="83"/>
      <c r="F172" s="83"/>
      <c r="G172" s="83"/>
      <c r="H172" s="84"/>
      <c r="I172" s="93"/>
      <c r="J172" s="94"/>
      <c r="K172" s="94"/>
      <c r="L172" s="95"/>
      <c r="M172" s="96"/>
      <c r="N172" s="83"/>
      <c r="O172" s="97"/>
      <c r="P172" s="83"/>
      <c r="Q172" s="81"/>
    </row>
    <row r="173" hidden="1" spans="1:17">
      <c r="A173" s="81"/>
      <c r="B173" s="101"/>
      <c r="C173" s="82"/>
      <c r="D173" s="82"/>
      <c r="E173" s="83"/>
      <c r="F173" s="83"/>
      <c r="G173" s="83"/>
      <c r="H173" s="84"/>
      <c r="I173" s="93"/>
      <c r="J173" s="94"/>
      <c r="K173" s="94"/>
      <c r="L173" s="95"/>
      <c r="M173" s="96"/>
      <c r="N173" s="83"/>
      <c r="O173" s="97"/>
      <c r="P173" s="83"/>
      <c r="Q173" s="81"/>
    </row>
    <row r="174" hidden="1" spans="1:17">
      <c r="A174" s="81"/>
      <c r="B174" s="101"/>
      <c r="C174" s="82"/>
      <c r="D174" s="82"/>
      <c r="E174" s="83"/>
      <c r="F174" s="83"/>
      <c r="G174" s="83"/>
      <c r="H174" s="84"/>
      <c r="I174" s="93"/>
      <c r="J174" s="94"/>
      <c r="K174" s="94"/>
      <c r="L174" s="95"/>
      <c r="M174" s="96"/>
      <c r="N174" s="83"/>
      <c r="O174" s="97"/>
      <c r="P174" s="83"/>
      <c r="Q174" s="81"/>
    </row>
    <row r="175" hidden="1" spans="1:17">
      <c r="A175" s="81"/>
      <c r="B175" s="101"/>
      <c r="C175" s="82"/>
      <c r="D175" s="82"/>
      <c r="E175" s="83"/>
      <c r="F175" s="83"/>
      <c r="G175" s="83"/>
      <c r="H175" s="84"/>
      <c r="I175" s="93"/>
      <c r="J175" s="94"/>
      <c r="K175" s="94"/>
      <c r="L175" s="95"/>
      <c r="M175" s="96"/>
      <c r="N175" s="83"/>
      <c r="O175" s="97"/>
      <c r="P175" s="83"/>
      <c r="Q175" s="81"/>
    </row>
    <row r="176" hidden="1" spans="1:17">
      <c r="A176" s="81"/>
      <c r="B176" s="101"/>
      <c r="C176" s="82"/>
      <c r="D176" s="82"/>
      <c r="E176" s="83"/>
      <c r="F176" s="83"/>
      <c r="G176" s="83"/>
      <c r="H176" s="84"/>
      <c r="I176" s="93"/>
      <c r="J176" s="94"/>
      <c r="K176" s="94"/>
      <c r="L176" s="95"/>
      <c r="M176" s="96"/>
      <c r="N176" s="83"/>
      <c r="O176" s="97"/>
      <c r="P176" s="83"/>
      <c r="Q176" s="81"/>
    </row>
    <row r="177" hidden="1" spans="1:17">
      <c r="A177" s="81"/>
      <c r="B177" s="101"/>
      <c r="C177" s="82"/>
      <c r="D177" s="82"/>
      <c r="E177" s="83"/>
      <c r="F177" s="83"/>
      <c r="G177" s="83"/>
      <c r="H177" s="84"/>
      <c r="I177" s="93"/>
      <c r="J177" s="94"/>
      <c r="K177" s="94"/>
      <c r="L177" s="95"/>
      <c r="M177" s="96"/>
      <c r="N177" s="83"/>
      <c r="O177" s="97"/>
      <c r="P177" s="83"/>
      <c r="Q177" s="81"/>
    </row>
    <row r="178" hidden="1" spans="1:17">
      <c r="A178" s="81"/>
      <c r="B178" s="101"/>
      <c r="C178" s="82"/>
      <c r="D178" s="82"/>
      <c r="E178" s="83"/>
      <c r="F178" s="83"/>
      <c r="G178" s="83"/>
      <c r="H178" s="84"/>
      <c r="I178" s="93"/>
      <c r="J178" s="94"/>
      <c r="K178" s="94"/>
      <c r="L178" s="95"/>
      <c r="M178" s="96"/>
      <c r="N178" s="83"/>
      <c r="O178" s="97"/>
      <c r="P178" s="83"/>
      <c r="Q178" s="81"/>
    </row>
    <row r="179" hidden="1" spans="1:17">
      <c r="A179" s="81"/>
      <c r="B179" s="101"/>
      <c r="C179" s="82"/>
      <c r="D179" s="82"/>
      <c r="E179" s="83"/>
      <c r="F179" s="83"/>
      <c r="G179" s="83"/>
      <c r="H179" s="84"/>
      <c r="I179" s="93"/>
      <c r="J179" s="94"/>
      <c r="K179" s="94"/>
      <c r="L179" s="95"/>
      <c r="M179" s="96"/>
      <c r="N179" s="83"/>
      <c r="O179" s="97"/>
      <c r="P179" s="83"/>
      <c r="Q179" s="81"/>
    </row>
    <row r="180" hidden="1" spans="1:17">
      <c r="A180" s="81"/>
      <c r="B180" s="101"/>
      <c r="C180" s="82"/>
      <c r="D180" s="82"/>
      <c r="E180" s="83"/>
      <c r="F180" s="83"/>
      <c r="G180" s="83"/>
      <c r="H180" s="84"/>
      <c r="I180" s="93"/>
      <c r="J180" s="94"/>
      <c r="K180" s="94"/>
      <c r="L180" s="95"/>
      <c r="M180" s="96"/>
      <c r="N180" s="83"/>
      <c r="O180" s="97"/>
      <c r="P180" s="83"/>
      <c r="Q180" s="81"/>
    </row>
    <row r="181" hidden="1" spans="1:17">
      <c r="A181" s="81"/>
      <c r="B181" s="101"/>
      <c r="C181" s="82"/>
      <c r="D181" s="82"/>
      <c r="E181" s="83"/>
      <c r="F181" s="83"/>
      <c r="G181" s="83"/>
      <c r="H181" s="84"/>
      <c r="I181" s="93"/>
      <c r="J181" s="94"/>
      <c r="K181" s="94"/>
      <c r="L181" s="95"/>
      <c r="M181" s="96"/>
      <c r="N181" s="83"/>
      <c r="O181" s="97"/>
      <c r="P181" s="83"/>
      <c r="Q181" s="81"/>
    </row>
  </sheetData>
  <autoFilter ref="A26:Q181">
    <filterColumn colId="10">
      <filters blank="1"/>
    </filterColumn>
    <extLst/>
  </autoFilter>
  <mergeCells count="4">
    <mergeCell ref="J1:M1"/>
    <mergeCell ref="J10:K10"/>
    <mergeCell ref="A13:J13"/>
    <mergeCell ref="A25:Q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3"/>
  <sheetViews>
    <sheetView workbookViewId="0">
      <selection activeCell="M3" sqref="M3:M7"/>
    </sheetView>
  </sheetViews>
  <sheetFormatPr defaultColWidth="9.14285714285714" defaultRowHeight="15"/>
  <cols>
    <col min="1" max="1" width="16.2857142857143" customWidth="1"/>
    <col min="3" max="3" width="21.1428571428571" customWidth="1"/>
    <col min="5" max="5" width="12.4285714285714" customWidth="1"/>
    <col min="6" max="6" width="13.5714285714286" customWidth="1"/>
    <col min="7" max="7" width="15.1428571428571" customWidth="1"/>
    <col min="8" max="8" width="13.8571428571429" customWidth="1"/>
    <col min="9" max="9" width="14.4285714285714" customWidth="1"/>
    <col min="10" max="10" width="17.7142857142857" customWidth="1"/>
    <col min="11" max="11" width="29.2857142857143" customWidth="1"/>
    <col min="12" max="12" width="12.1428571428571" customWidth="1"/>
    <col min="13" max="13" width="16.5714285714286" customWidth="1"/>
    <col min="15" max="15" width="38.1428571428571" customWidth="1"/>
  </cols>
  <sheetData>
    <row r="1" ht="21.75" spans="1:13">
      <c r="A1" s="34" t="s">
        <v>479</v>
      </c>
      <c r="B1" s="35"/>
      <c r="C1" s="35"/>
      <c r="D1" s="35"/>
      <c r="E1" s="35"/>
      <c r="F1" s="35"/>
      <c r="G1" s="35"/>
      <c r="H1" s="38"/>
      <c r="J1" s="86" t="s">
        <v>674</v>
      </c>
      <c r="K1" s="86"/>
      <c r="L1" s="86"/>
      <c r="M1" s="86"/>
    </row>
    <row r="2" ht="60" spans="1:13">
      <c r="A2" s="59" t="s">
        <v>6</v>
      </c>
      <c r="B2" s="60" t="s">
        <v>0</v>
      </c>
      <c r="C2" s="60" t="s">
        <v>1</v>
      </c>
      <c r="D2" s="29" t="s">
        <v>481</v>
      </c>
      <c r="E2" s="30" t="s">
        <v>675</v>
      </c>
      <c r="F2" s="29" t="s">
        <v>483</v>
      </c>
      <c r="G2" s="29" t="s">
        <v>484</v>
      </c>
      <c r="H2" s="30" t="s">
        <v>485</v>
      </c>
      <c r="J2" s="28" t="s">
        <v>486</v>
      </c>
      <c r="K2" s="29" t="s">
        <v>487</v>
      </c>
      <c r="L2" s="30" t="s">
        <v>488</v>
      </c>
      <c r="M2" s="87" t="s">
        <v>489</v>
      </c>
    </row>
    <row r="3" spans="1:13">
      <c r="A3" s="61" t="s">
        <v>676</v>
      </c>
      <c r="B3" s="62" t="s">
        <v>107</v>
      </c>
      <c r="C3" s="62" t="s">
        <v>108</v>
      </c>
      <c r="D3">
        <v>57</v>
      </c>
      <c r="E3" s="63">
        <v>47</v>
      </c>
      <c r="F3" s="1">
        <v>0</v>
      </c>
      <c r="G3" s="1">
        <v>28</v>
      </c>
      <c r="H3" s="33">
        <v>19</v>
      </c>
      <c r="J3" s="53">
        <v>15</v>
      </c>
      <c r="K3" s="1">
        <v>12</v>
      </c>
      <c r="L3" s="33">
        <v>18</v>
      </c>
      <c r="M3" s="88">
        <v>17</v>
      </c>
    </row>
    <row r="4" spans="1:13">
      <c r="A4" s="61" t="s">
        <v>676</v>
      </c>
      <c r="B4" s="62" t="s">
        <v>122</v>
      </c>
      <c r="C4" s="62" t="s">
        <v>123</v>
      </c>
      <c r="D4">
        <v>30</v>
      </c>
      <c r="E4" s="63">
        <v>26</v>
      </c>
      <c r="F4" s="1">
        <v>17</v>
      </c>
      <c r="G4" s="1">
        <v>5</v>
      </c>
      <c r="H4" s="33">
        <v>4</v>
      </c>
      <c r="J4" s="53">
        <v>12</v>
      </c>
      <c r="K4" s="1">
        <v>7</v>
      </c>
      <c r="L4" s="33">
        <v>6</v>
      </c>
      <c r="M4" s="88">
        <v>13</v>
      </c>
    </row>
    <row r="5" spans="1:13">
      <c r="A5" s="61" t="s">
        <v>676</v>
      </c>
      <c r="B5" s="62" t="s">
        <v>148</v>
      </c>
      <c r="C5" s="62" t="s">
        <v>149</v>
      </c>
      <c r="D5">
        <v>19</v>
      </c>
      <c r="E5" s="63">
        <v>16</v>
      </c>
      <c r="F5" s="1">
        <v>3</v>
      </c>
      <c r="G5" s="1">
        <v>8</v>
      </c>
      <c r="H5" s="33">
        <v>5</v>
      </c>
      <c r="J5" s="53">
        <v>14</v>
      </c>
      <c r="K5" s="1">
        <v>1</v>
      </c>
      <c r="L5" s="89">
        <v>0</v>
      </c>
      <c r="M5" s="88">
        <v>15</v>
      </c>
    </row>
    <row r="6" spans="1:13">
      <c r="A6" s="61" t="s">
        <v>676</v>
      </c>
      <c r="B6" s="62" t="s">
        <v>163</v>
      </c>
      <c r="C6" s="62" t="s">
        <v>164</v>
      </c>
      <c r="D6">
        <v>11</v>
      </c>
      <c r="E6" s="63">
        <v>9</v>
      </c>
      <c r="F6" s="1">
        <v>4</v>
      </c>
      <c r="G6" s="1">
        <v>5</v>
      </c>
      <c r="H6" s="33">
        <v>0</v>
      </c>
      <c r="J6" s="53">
        <v>6</v>
      </c>
      <c r="K6" s="1">
        <v>2</v>
      </c>
      <c r="L6" s="33">
        <v>0</v>
      </c>
      <c r="M6" s="88">
        <v>7</v>
      </c>
    </row>
    <row r="7" spans="1:13">
      <c r="A7" s="64" t="s">
        <v>676</v>
      </c>
      <c r="B7" s="65" t="s">
        <v>174</v>
      </c>
      <c r="C7" s="65" t="s">
        <v>175</v>
      </c>
      <c r="D7" s="66">
        <v>12</v>
      </c>
      <c r="E7" s="67">
        <v>9</v>
      </c>
      <c r="F7" s="16">
        <v>0</v>
      </c>
      <c r="G7" s="16">
        <v>3</v>
      </c>
      <c r="H7" s="37">
        <v>6</v>
      </c>
      <c r="J7" s="53">
        <v>4</v>
      </c>
      <c r="K7" s="16">
        <v>3</v>
      </c>
      <c r="L7" s="33">
        <v>2</v>
      </c>
      <c r="M7" s="90">
        <v>4</v>
      </c>
    </row>
    <row r="8" spans="10:12">
      <c r="J8" s="20" t="s">
        <v>490</v>
      </c>
      <c r="K8" s="21"/>
      <c r="L8" s="52">
        <v>26</v>
      </c>
    </row>
    <row r="9" ht="15.75"/>
    <row r="10" ht="21.75" spans="1:10">
      <c r="A10" s="25" t="s">
        <v>491</v>
      </c>
      <c r="B10" s="26"/>
      <c r="C10" s="26"/>
      <c r="D10" s="26"/>
      <c r="E10" s="26"/>
      <c r="F10" s="26"/>
      <c r="G10" s="26"/>
      <c r="H10" s="26"/>
      <c r="I10" s="26"/>
      <c r="J10" s="27"/>
    </row>
    <row r="11" ht="60" spans="1:10">
      <c r="A11" s="59" t="s">
        <v>6</v>
      </c>
      <c r="B11" s="60" t="s">
        <v>0</v>
      </c>
      <c r="C11" s="60" t="s">
        <v>1</v>
      </c>
      <c r="D11" s="60" t="s">
        <v>492</v>
      </c>
      <c r="E11" s="60" t="s">
        <v>493</v>
      </c>
      <c r="F11" s="60" t="s">
        <v>494</v>
      </c>
      <c r="G11" s="60" t="s">
        <v>495</v>
      </c>
      <c r="H11" s="29" t="s">
        <v>496</v>
      </c>
      <c r="I11" s="29" t="s">
        <v>497</v>
      </c>
      <c r="J11" s="30" t="s">
        <v>498</v>
      </c>
    </row>
    <row r="12" spans="1:10">
      <c r="A12" s="61" t="s">
        <v>676</v>
      </c>
      <c r="B12" s="62" t="s">
        <v>107</v>
      </c>
      <c r="C12" s="62" t="s">
        <v>108</v>
      </c>
      <c r="D12" s="68">
        <v>62887</v>
      </c>
      <c r="E12" s="69">
        <v>44020.9</v>
      </c>
      <c r="F12" s="69">
        <v>18866.1</v>
      </c>
      <c r="G12" s="70">
        <v>58617</v>
      </c>
      <c r="H12" s="69">
        <v>2000.95</v>
      </c>
      <c r="I12" s="69">
        <v>857.55</v>
      </c>
      <c r="J12" s="91">
        <v>2664.40909090909</v>
      </c>
    </row>
    <row r="13" spans="1:10">
      <c r="A13" s="61" t="s">
        <v>676</v>
      </c>
      <c r="B13" s="62" t="s">
        <v>122</v>
      </c>
      <c r="C13" s="62" t="s">
        <v>123</v>
      </c>
      <c r="D13" s="68">
        <v>3077</v>
      </c>
      <c r="E13" s="69">
        <v>2153.9</v>
      </c>
      <c r="F13" s="69">
        <v>923.1</v>
      </c>
      <c r="G13" s="70">
        <v>60585</v>
      </c>
      <c r="H13" s="71">
        <v>98</v>
      </c>
      <c r="I13" s="71">
        <v>42</v>
      </c>
      <c r="J13" s="91">
        <v>2753.86363636364</v>
      </c>
    </row>
    <row r="14" spans="1:10">
      <c r="A14" s="61" t="s">
        <v>676</v>
      </c>
      <c r="B14" s="62" t="s">
        <v>148</v>
      </c>
      <c r="C14" s="62" t="s">
        <v>149</v>
      </c>
      <c r="D14" s="68">
        <v>49586</v>
      </c>
      <c r="E14" s="69">
        <v>34710.2</v>
      </c>
      <c r="F14" s="69">
        <v>14875.8</v>
      </c>
      <c r="G14" s="70">
        <v>58018</v>
      </c>
      <c r="H14" s="69">
        <v>1577.73636363636</v>
      </c>
      <c r="I14" s="69">
        <v>676</v>
      </c>
      <c r="J14" s="91">
        <v>2635</v>
      </c>
    </row>
    <row r="15" spans="1:10">
      <c r="A15" s="61" t="s">
        <v>676</v>
      </c>
      <c r="B15" s="62" t="s">
        <v>163</v>
      </c>
      <c r="C15" s="62" t="s">
        <v>164</v>
      </c>
      <c r="D15" s="68">
        <v>19668</v>
      </c>
      <c r="E15" s="69">
        <v>13868</v>
      </c>
      <c r="F15" s="69">
        <v>5800</v>
      </c>
      <c r="G15" s="70">
        <v>21780</v>
      </c>
      <c r="H15" s="69">
        <v>630.363636363636</v>
      </c>
      <c r="I15" s="69">
        <v>263.636363636364</v>
      </c>
      <c r="J15" s="91">
        <v>990</v>
      </c>
    </row>
    <row r="16" ht="15.75" spans="1:10">
      <c r="A16" s="64" t="s">
        <v>676</v>
      </c>
      <c r="B16" s="65" t="s">
        <v>174</v>
      </c>
      <c r="C16" s="65" t="s">
        <v>175</v>
      </c>
      <c r="D16" s="72">
        <v>8354</v>
      </c>
      <c r="E16" s="73">
        <v>5847.8</v>
      </c>
      <c r="F16" s="73">
        <v>2506.2</v>
      </c>
      <c r="G16" s="74">
        <v>17605</v>
      </c>
      <c r="H16" s="73">
        <v>265.809090909091</v>
      </c>
      <c r="I16" s="73">
        <v>113.918181818182</v>
      </c>
      <c r="J16" s="92">
        <v>800.227272727273</v>
      </c>
    </row>
    <row r="18" ht="15.75"/>
    <row r="19" ht="21.75" spans="1:17">
      <c r="A19" s="75" t="s">
        <v>499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99"/>
    </row>
    <row r="20" ht="60" spans="1:17">
      <c r="A20" s="77" t="s">
        <v>597</v>
      </c>
      <c r="B20" s="77" t="s">
        <v>598</v>
      </c>
      <c r="C20" s="78" t="s">
        <v>501</v>
      </c>
      <c r="D20" s="79" t="s">
        <v>502</v>
      </c>
      <c r="E20" s="79" t="s">
        <v>503</v>
      </c>
      <c r="F20" s="77" t="s">
        <v>504</v>
      </c>
      <c r="G20" s="77" t="s">
        <v>505</v>
      </c>
      <c r="H20" s="80" t="s">
        <v>599</v>
      </c>
      <c r="I20" s="80" t="s">
        <v>507</v>
      </c>
      <c r="J20" s="80" t="s">
        <v>508</v>
      </c>
      <c r="K20" s="80" t="s">
        <v>509</v>
      </c>
      <c r="L20" s="80" t="s">
        <v>510</v>
      </c>
      <c r="M20" s="79" t="s">
        <v>600</v>
      </c>
      <c r="N20" s="79" t="s">
        <v>512</v>
      </c>
      <c r="O20" s="79" t="s">
        <v>601</v>
      </c>
      <c r="P20" s="79" t="s">
        <v>602</v>
      </c>
      <c r="Q20" s="100" t="s">
        <v>514</v>
      </c>
    </row>
    <row r="21" spans="1:17">
      <c r="A21" s="81" t="s">
        <v>677</v>
      </c>
      <c r="B21" s="81" t="s">
        <v>122</v>
      </c>
      <c r="C21" s="82" t="s">
        <v>515</v>
      </c>
      <c r="D21" s="82" t="s">
        <v>516</v>
      </c>
      <c r="E21" s="83" t="s">
        <v>517</v>
      </c>
      <c r="F21" s="83"/>
      <c r="G21" s="83"/>
      <c r="H21" s="84">
        <v>0.583333333333333</v>
      </c>
      <c r="I21" s="93">
        <v>0.645833333333333</v>
      </c>
      <c r="J21" s="94">
        <v>0.0625</v>
      </c>
      <c r="K21" s="94"/>
      <c r="L21" s="95">
        <v>0.313085205992509</v>
      </c>
      <c r="M21" s="96">
        <v>535</v>
      </c>
      <c r="N21" s="83">
        <v>535</v>
      </c>
      <c r="O21" s="97" t="s">
        <v>124</v>
      </c>
      <c r="P21" s="83" t="s">
        <v>109</v>
      </c>
      <c r="Q21" s="81" t="s">
        <v>521</v>
      </c>
    </row>
    <row r="22" spans="1:17">
      <c r="A22" s="81" t="s">
        <v>677</v>
      </c>
      <c r="B22" s="81" t="s">
        <v>122</v>
      </c>
      <c r="C22" s="82" t="s">
        <v>515</v>
      </c>
      <c r="D22" s="82" t="s">
        <v>523</v>
      </c>
      <c r="E22" s="83" t="s">
        <v>517</v>
      </c>
      <c r="F22" s="83"/>
      <c r="G22" s="83"/>
      <c r="H22" s="84">
        <v>0.583333333333333</v>
      </c>
      <c r="I22" s="93">
        <v>0.645833333333333</v>
      </c>
      <c r="J22" s="94">
        <v>0.0625</v>
      </c>
      <c r="K22" s="94"/>
      <c r="L22" s="95">
        <v>0.416666666666667</v>
      </c>
      <c r="M22" s="96">
        <v>700</v>
      </c>
      <c r="N22" s="83">
        <v>700</v>
      </c>
      <c r="O22" s="97" t="s">
        <v>124</v>
      </c>
      <c r="P22" s="83" t="s">
        <v>109</v>
      </c>
      <c r="Q22" s="81" t="s">
        <v>525</v>
      </c>
    </row>
    <row r="23" spans="1:17">
      <c r="A23" s="81" t="s">
        <v>677</v>
      </c>
      <c r="B23" s="81" t="s">
        <v>678</v>
      </c>
      <c r="C23" s="82" t="s">
        <v>679</v>
      </c>
      <c r="D23" s="82" t="s">
        <v>680</v>
      </c>
      <c r="E23" s="83" t="s">
        <v>529</v>
      </c>
      <c r="F23" s="83"/>
      <c r="G23" s="83"/>
      <c r="H23" s="84">
        <v>0.295138888888889</v>
      </c>
      <c r="I23" s="93">
        <v>0.298611111111111</v>
      </c>
      <c r="J23" s="94">
        <v>0.00347222222222222</v>
      </c>
      <c r="K23" s="94"/>
      <c r="L23" s="95">
        <v>0.0833333333333333</v>
      </c>
      <c r="M23" s="96">
        <v>158</v>
      </c>
      <c r="N23" s="96">
        <v>158</v>
      </c>
      <c r="O23" s="97" t="s">
        <v>681</v>
      </c>
      <c r="P23" s="83" t="s">
        <v>109</v>
      </c>
      <c r="Q23" s="81" t="s">
        <v>609</v>
      </c>
    </row>
    <row r="24" spans="1:17">
      <c r="A24" s="81" t="s">
        <v>677</v>
      </c>
      <c r="B24" s="81" t="s">
        <v>682</v>
      </c>
      <c r="C24" s="82" t="s">
        <v>679</v>
      </c>
      <c r="D24" s="82" t="s">
        <v>680</v>
      </c>
      <c r="E24" s="83" t="s">
        <v>529</v>
      </c>
      <c r="F24" s="83"/>
      <c r="G24" s="83"/>
      <c r="H24" s="84">
        <v>0.320300608828006</v>
      </c>
      <c r="I24" s="93">
        <v>0.323772831050228</v>
      </c>
      <c r="J24" s="94">
        <v>0.00347222222222222</v>
      </c>
      <c r="K24" s="94"/>
      <c r="L24" s="95">
        <v>0.021689497716895</v>
      </c>
      <c r="M24" s="96">
        <v>38</v>
      </c>
      <c r="N24" s="83">
        <v>196</v>
      </c>
      <c r="O24" s="97" t="s">
        <v>683</v>
      </c>
      <c r="P24" s="83" t="s">
        <v>109</v>
      </c>
      <c r="Q24" s="81" t="s">
        <v>609</v>
      </c>
    </row>
    <row r="25" spans="1:17">
      <c r="A25" s="81" t="s">
        <v>677</v>
      </c>
      <c r="B25" s="81" t="s">
        <v>682</v>
      </c>
      <c r="C25" s="82" t="s">
        <v>679</v>
      </c>
      <c r="D25" s="82" t="s">
        <v>684</v>
      </c>
      <c r="E25" s="83" t="s">
        <v>529</v>
      </c>
      <c r="F25" s="83"/>
      <c r="G25" s="83"/>
      <c r="H25" s="84">
        <v>0.5625</v>
      </c>
      <c r="I25" s="93">
        <v>0.569444444444444</v>
      </c>
      <c r="J25" s="94">
        <v>0.00694444444444444</v>
      </c>
      <c r="K25" s="94"/>
      <c r="L25" s="95">
        <v>0.238727168949772</v>
      </c>
      <c r="M25" s="96"/>
      <c r="N25" s="83"/>
      <c r="O25" s="97" t="s">
        <v>683</v>
      </c>
      <c r="P25" s="83" t="s">
        <v>109</v>
      </c>
      <c r="Q25" s="81" t="s">
        <v>609</v>
      </c>
    </row>
    <row r="26" spans="1:17">
      <c r="A26" s="81" t="s">
        <v>677</v>
      </c>
      <c r="B26" s="81" t="s">
        <v>678</v>
      </c>
      <c r="C26" s="82" t="s">
        <v>679</v>
      </c>
      <c r="D26" s="82" t="s">
        <v>684</v>
      </c>
      <c r="E26" s="83" t="s">
        <v>529</v>
      </c>
      <c r="F26" s="83"/>
      <c r="G26" s="83"/>
      <c r="H26" s="84">
        <v>0.594378827646544</v>
      </c>
      <c r="I26" s="93">
        <v>0.601323272090989</v>
      </c>
      <c r="J26" s="94">
        <v>0.00694444444444444</v>
      </c>
      <c r="K26" s="94"/>
      <c r="L26" s="95">
        <v>0.0249343832020997</v>
      </c>
      <c r="M26" s="96">
        <v>38</v>
      </c>
      <c r="N26" s="83">
        <v>38</v>
      </c>
      <c r="O26" s="97" t="s">
        <v>681</v>
      </c>
      <c r="P26" s="83" t="s">
        <v>109</v>
      </c>
      <c r="Q26" s="81" t="s">
        <v>609</v>
      </c>
    </row>
    <row r="27" spans="1:17">
      <c r="A27" s="81" t="s">
        <v>677</v>
      </c>
      <c r="B27" s="81" t="s">
        <v>685</v>
      </c>
      <c r="C27" s="82" t="s">
        <v>679</v>
      </c>
      <c r="D27" s="82" t="s">
        <v>684</v>
      </c>
      <c r="E27" s="83" t="s">
        <v>529</v>
      </c>
      <c r="F27" s="83"/>
      <c r="G27" s="83"/>
      <c r="H27" s="84">
        <v>0.629299462567179</v>
      </c>
      <c r="I27" s="93">
        <v>0.636243907011623</v>
      </c>
      <c r="J27" s="94">
        <v>0.00694444444444444</v>
      </c>
      <c r="K27" s="94"/>
      <c r="L27" s="95">
        <v>0.0279761904761905</v>
      </c>
      <c r="M27" s="96">
        <v>47</v>
      </c>
      <c r="N27" s="96">
        <v>85</v>
      </c>
      <c r="O27" s="97" t="s">
        <v>686</v>
      </c>
      <c r="P27" s="83" t="s">
        <v>109</v>
      </c>
      <c r="Q27" s="81" t="s">
        <v>609</v>
      </c>
    </row>
    <row r="28" spans="1:17">
      <c r="A28" s="81" t="s">
        <v>677</v>
      </c>
      <c r="B28" s="81" t="s">
        <v>687</v>
      </c>
      <c r="C28" s="82" t="s">
        <v>679</v>
      </c>
      <c r="D28" s="82" t="s">
        <v>688</v>
      </c>
      <c r="E28" s="83" t="s">
        <v>529</v>
      </c>
      <c r="F28" s="83" t="s">
        <v>535</v>
      </c>
      <c r="G28" s="83"/>
      <c r="H28" s="84">
        <v>0.251696950710109</v>
      </c>
      <c r="I28" s="93">
        <v>0.255169172932331</v>
      </c>
      <c r="J28" s="94">
        <v>0.00347222222222222</v>
      </c>
      <c r="K28" s="94"/>
      <c r="L28" s="95">
        <v>0.0676691729323308</v>
      </c>
      <c r="M28" s="96">
        <v>108</v>
      </c>
      <c r="N28" s="83">
        <v>108</v>
      </c>
      <c r="O28" s="97" t="s">
        <v>689</v>
      </c>
      <c r="P28" s="83" t="s">
        <v>109</v>
      </c>
      <c r="Q28" s="81" t="s">
        <v>609</v>
      </c>
    </row>
    <row r="29" spans="1:17">
      <c r="A29" s="81" t="s">
        <v>677</v>
      </c>
      <c r="B29" s="81" t="s">
        <v>690</v>
      </c>
      <c r="C29" s="82" t="s">
        <v>679</v>
      </c>
      <c r="D29" s="82" t="s">
        <v>688</v>
      </c>
      <c r="E29" s="83" t="s">
        <v>529</v>
      </c>
      <c r="F29" s="83" t="s">
        <v>535</v>
      </c>
      <c r="G29" s="83"/>
      <c r="H29" s="84">
        <v>0.286339656392891</v>
      </c>
      <c r="I29" s="93">
        <v>0.289811878615113</v>
      </c>
      <c r="J29" s="94">
        <v>0.00347222222222222</v>
      </c>
      <c r="K29" s="94"/>
      <c r="L29" s="95">
        <v>0.0311704834605598</v>
      </c>
      <c r="M29" s="96">
        <v>49</v>
      </c>
      <c r="N29" s="83">
        <v>157</v>
      </c>
      <c r="O29" s="97" t="s">
        <v>691</v>
      </c>
      <c r="P29" s="83" t="s">
        <v>109</v>
      </c>
      <c r="Q29" s="81" t="s">
        <v>609</v>
      </c>
    </row>
    <row r="30" spans="1:17">
      <c r="A30" s="81" t="s">
        <v>677</v>
      </c>
      <c r="B30" s="81" t="s">
        <v>692</v>
      </c>
      <c r="C30" s="82" t="s">
        <v>679</v>
      </c>
      <c r="D30" s="82" t="s">
        <v>688</v>
      </c>
      <c r="E30" s="83" t="s">
        <v>529</v>
      </c>
      <c r="F30" s="83" t="s">
        <v>535</v>
      </c>
      <c r="G30" s="83"/>
      <c r="H30" s="84">
        <v>0.317765465113003</v>
      </c>
      <c r="I30" s="93">
        <v>0.321237687335225</v>
      </c>
      <c r="J30" s="94">
        <v>0.00347222222222222</v>
      </c>
      <c r="K30" s="94"/>
      <c r="L30" s="95">
        <v>0.0279535864978903</v>
      </c>
      <c r="M30" s="96">
        <v>53</v>
      </c>
      <c r="N30" s="83">
        <v>210</v>
      </c>
      <c r="O30" s="97" t="s">
        <v>693</v>
      </c>
      <c r="P30" s="83" t="s">
        <v>109</v>
      </c>
      <c r="Q30" s="81" t="s">
        <v>609</v>
      </c>
    </row>
    <row r="31" spans="1:17">
      <c r="A31" s="81" t="s">
        <v>677</v>
      </c>
      <c r="B31" s="81" t="s">
        <v>692</v>
      </c>
      <c r="C31" s="82" t="s">
        <v>679</v>
      </c>
      <c r="D31" s="82" t="s">
        <v>694</v>
      </c>
      <c r="E31" s="83" t="s">
        <v>529</v>
      </c>
      <c r="F31" s="83"/>
      <c r="G31" s="83" t="s">
        <v>530</v>
      </c>
      <c r="H31" s="84">
        <v>0.559027777777778</v>
      </c>
      <c r="I31" s="93">
        <v>0.5625</v>
      </c>
      <c r="J31" s="94">
        <v>0.00347222222222222</v>
      </c>
      <c r="K31" s="94"/>
      <c r="L31" s="95"/>
      <c r="M31" s="96"/>
      <c r="N31" s="83"/>
      <c r="O31" s="97" t="s">
        <v>693</v>
      </c>
      <c r="P31" s="83" t="s">
        <v>109</v>
      </c>
      <c r="Q31" s="81" t="s">
        <v>609</v>
      </c>
    </row>
    <row r="32" spans="1:17">
      <c r="A32" s="81" t="s">
        <v>677</v>
      </c>
      <c r="B32" s="81" t="s">
        <v>695</v>
      </c>
      <c r="C32" s="82" t="s">
        <v>679</v>
      </c>
      <c r="D32" s="82" t="s">
        <v>694</v>
      </c>
      <c r="E32" s="83" t="s">
        <v>529</v>
      </c>
      <c r="F32" s="83"/>
      <c r="G32" s="83" t="s">
        <v>530</v>
      </c>
      <c r="H32" s="84">
        <v>0.565972222222222</v>
      </c>
      <c r="I32" s="93">
        <v>0.572916666666667</v>
      </c>
      <c r="J32" s="94">
        <v>0.00694444444444444</v>
      </c>
      <c r="K32" s="94"/>
      <c r="L32" s="95">
        <v>0.00347222222222222</v>
      </c>
      <c r="M32" s="96">
        <v>0.5</v>
      </c>
      <c r="N32" s="83">
        <v>0.5</v>
      </c>
      <c r="O32" s="97" t="s">
        <v>696</v>
      </c>
      <c r="P32" s="83" t="s">
        <v>109</v>
      </c>
      <c r="Q32" s="81" t="s">
        <v>609</v>
      </c>
    </row>
    <row r="33" spans="1:17">
      <c r="A33" s="81" t="s">
        <v>677</v>
      </c>
      <c r="B33" s="81" t="s">
        <v>697</v>
      </c>
      <c r="C33" s="82" t="s">
        <v>679</v>
      </c>
      <c r="D33" s="82" t="s">
        <v>694</v>
      </c>
      <c r="E33" s="83" t="s">
        <v>529</v>
      </c>
      <c r="F33" s="83"/>
      <c r="G33" s="83" t="s">
        <v>530</v>
      </c>
      <c r="H33" s="84">
        <v>0.597453703703704</v>
      </c>
      <c r="I33" s="93">
        <v>0.600925925925926</v>
      </c>
      <c r="J33" s="94">
        <v>0.00347222222222222</v>
      </c>
      <c r="K33" s="94"/>
      <c r="L33" s="95">
        <v>0.024537037037037</v>
      </c>
      <c r="M33" s="96">
        <v>53</v>
      </c>
      <c r="N33" s="96">
        <v>53.5</v>
      </c>
      <c r="O33" s="97" t="s">
        <v>698</v>
      </c>
      <c r="P33" s="83" t="s">
        <v>109</v>
      </c>
      <c r="Q33" s="81" t="s">
        <v>609</v>
      </c>
    </row>
    <row r="34" spans="1:17">
      <c r="A34" s="81" t="s">
        <v>677</v>
      </c>
      <c r="B34" s="81" t="s">
        <v>690</v>
      </c>
      <c r="C34" s="82" t="s">
        <v>679</v>
      </c>
      <c r="D34" s="82" t="s">
        <v>694</v>
      </c>
      <c r="E34" s="83" t="s">
        <v>529</v>
      </c>
      <c r="F34" s="83"/>
      <c r="G34" s="83" t="s">
        <v>530</v>
      </c>
      <c r="H34" s="84">
        <v>0.604398148148148</v>
      </c>
      <c r="I34" s="93">
        <v>0.60787037037037</v>
      </c>
      <c r="J34" s="94">
        <v>0.00347222222222222</v>
      </c>
      <c r="K34" s="94"/>
      <c r="L34" s="95">
        <v>0.00347222222222222</v>
      </c>
      <c r="M34" s="96">
        <v>0.5</v>
      </c>
      <c r="N34" s="96">
        <v>54</v>
      </c>
      <c r="O34" s="97" t="s">
        <v>691</v>
      </c>
      <c r="P34" s="83" t="s">
        <v>109</v>
      </c>
      <c r="Q34" s="81" t="s">
        <v>609</v>
      </c>
    </row>
    <row r="35" spans="1:17">
      <c r="A35" s="81" t="s">
        <v>677</v>
      </c>
      <c r="B35" s="81" t="s">
        <v>687</v>
      </c>
      <c r="C35" s="82" t="s">
        <v>679</v>
      </c>
      <c r="D35" s="82" t="s">
        <v>694</v>
      </c>
      <c r="E35" s="83" t="s">
        <v>529</v>
      </c>
      <c r="F35" s="83"/>
      <c r="G35" s="83" t="s">
        <v>530</v>
      </c>
      <c r="H35" s="84">
        <v>0.642958089668616</v>
      </c>
      <c r="I35" s="93">
        <v>0.646430311890838</v>
      </c>
      <c r="J35" s="94">
        <v>0.00347222222222222</v>
      </c>
      <c r="K35" s="94"/>
      <c r="L35" s="95">
        <v>0.0350877192982456</v>
      </c>
      <c r="M35" s="96">
        <v>48</v>
      </c>
      <c r="N35" s="96">
        <v>102</v>
      </c>
      <c r="O35" s="97" t="s">
        <v>689</v>
      </c>
      <c r="P35" s="83" t="s">
        <v>109</v>
      </c>
      <c r="Q35" s="81" t="s">
        <v>609</v>
      </c>
    </row>
    <row r="36" spans="1:17">
      <c r="A36" s="81" t="s">
        <v>677</v>
      </c>
      <c r="B36" s="81" t="s">
        <v>699</v>
      </c>
      <c r="C36" s="82" t="s">
        <v>679</v>
      </c>
      <c r="D36" s="82" t="s">
        <v>700</v>
      </c>
      <c r="E36" s="83" t="s">
        <v>529</v>
      </c>
      <c r="F36" s="83" t="s">
        <v>535</v>
      </c>
      <c r="G36" s="83"/>
      <c r="H36" s="84">
        <v>0.235861592111592</v>
      </c>
      <c r="I36" s="93">
        <v>0.239333814333814</v>
      </c>
      <c r="J36" s="94">
        <v>0.00347222222222222</v>
      </c>
      <c r="K36" s="94"/>
      <c r="L36" s="95">
        <v>0.0199074074074074</v>
      </c>
      <c r="M36" s="96">
        <v>43</v>
      </c>
      <c r="N36" s="96">
        <v>102</v>
      </c>
      <c r="O36" s="97" t="s">
        <v>701</v>
      </c>
      <c r="P36" s="83" t="s">
        <v>109</v>
      </c>
      <c r="Q36" s="81" t="s">
        <v>609</v>
      </c>
    </row>
    <row r="37" spans="1:17">
      <c r="A37" s="81" t="s">
        <v>677</v>
      </c>
      <c r="B37" s="81" t="s">
        <v>702</v>
      </c>
      <c r="C37" s="82" t="s">
        <v>679</v>
      </c>
      <c r="D37" s="82" t="s">
        <v>700</v>
      </c>
      <c r="E37" s="83" t="s">
        <v>529</v>
      </c>
      <c r="F37" s="83" t="s">
        <v>535</v>
      </c>
      <c r="G37" s="83"/>
      <c r="H37" s="84">
        <v>0.257190957190957</v>
      </c>
      <c r="I37" s="93">
        <v>0.260663179413179</v>
      </c>
      <c r="J37" s="94">
        <v>0.00347222222222222</v>
      </c>
      <c r="K37" s="94"/>
      <c r="L37" s="95">
        <v>0.0178571428571429</v>
      </c>
      <c r="M37" s="96">
        <v>12</v>
      </c>
      <c r="N37" s="96">
        <v>114</v>
      </c>
      <c r="O37" s="97" t="s">
        <v>703</v>
      </c>
      <c r="P37" s="83" t="s">
        <v>109</v>
      </c>
      <c r="Q37" s="81" t="s">
        <v>609</v>
      </c>
    </row>
    <row r="38" spans="1:17">
      <c r="A38" s="81" t="s">
        <v>677</v>
      </c>
      <c r="B38" s="81" t="s">
        <v>704</v>
      </c>
      <c r="C38" s="82" t="s">
        <v>679</v>
      </c>
      <c r="D38" s="82" t="s">
        <v>700</v>
      </c>
      <c r="E38" s="83" t="s">
        <v>529</v>
      </c>
      <c r="F38" s="83" t="s">
        <v>535</v>
      </c>
      <c r="G38" s="83"/>
      <c r="H38" s="84">
        <v>0.301596708249934</v>
      </c>
      <c r="I38" s="93">
        <v>0.305068930472156</v>
      </c>
      <c r="J38" s="94">
        <v>0.00347222222222222</v>
      </c>
      <c r="K38" s="94"/>
      <c r="L38" s="95">
        <v>0.0409335288367546</v>
      </c>
      <c r="M38" s="96">
        <v>67</v>
      </c>
      <c r="N38" s="96">
        <v>181</v>
      </c>
      <c r="O38" s="97" t="s">
        <v>705</v>
      </c>
      <c r="P38" s="83" t="s">
        <v>109</v>
      </c>
      <c r="Q38" s="81" t="s">
        <v>609</v>
      </c>
    </row>
    <row r="39" spans="1:17">
      <c r="A39" s="81" t="s">
        <v>677</v>
      </c>
      <c r="B39" s="81" t="s">
        <v>706</v>
      </c>
      <c r="C39" s="82" t="s">
        <v>679</v>
      </c>
      <c r="D39" s="82" t="s">
        <v>700</v>
      </c>
      <c r="E39" s="83" t="s">
        <v>529</v>
      </c>
      <c r="F39" s="83" t="s">
        <v>535</v>
      </c>
      <c r="G39" s="83"/>
      <c r="H39" s="84">
        <v>0.32590226380549</v>
      </c>
      <c r="I39" s="93">
        <v>0.329374486027712</v>
      </c>
      <c r="J39" s="94">
        <v>0.00347222222222222</v>
      </c>
      <c r="K39" s="94"/>
      <c r="L39" s="95">
        <v>0.0208333333333333</v>
      </c>
      <c r="M39" s="96">
        <v>33</v>
      </c>
      <c r="N39" s="96">
        <v>214</v>
      </c>
      <c r="O39" s="97" t="s">
        <v>707</v>
      </c>
      <c r="P39" s="83" t="s">
        <v>109</v>
      </c>
      <c r="Q39" s="81" t="s">
        <v>609</v>
      </c>
    </row>
    <row r="40" spans="1:17">
      <c r="A40" s="81" t="s">
        <v>677</v>
      </c>
      <c r="B40" s="81" t="s">
        <v>706</v>
      </c>
      <c r="C40" s="82" t="s">
        <v>679</v>
      </c>
      <c r="D40" s="82" t="s">
        <v>708</v>
      </c>
      <c r="E40" s="83" t="s">
        <v>529</v>
      </c>
      <c r="F40" s="83"/>
      <c r="G40" s="83" t="s">
        <v>530</v>
      </c>
      <c r="H40" s="84">
        <v>0.673611111111111</v>
      </c>
      <c r="I40" s="93">
        <v>0.677083333333333</v>
      </c>
      <c r="J40" s="94">
        <v>0.00347222222222222</v>
      </c>
      <c r="K40" s="94"/>
      <c r="L40" s="95"/>
      <c r="M40" s="96"/>
      <c r="N40" s="83"/>
      <c r="O40" s="97" t="s">
        <v>707</v>
      </c>
      <c r="P40" s="83" t="s">
        <v>109</v>
      </c>
      <c r="Q40" s="81" t="s">
        <v>609</v>
      </c>
    </row>
    <row r="41" spans="1:17">
      <c r="A41" s="81" t="s">
        <v>677</v>
      </c>
      <c r="B41" s="81" t="s">
        <v>704</v>
      </c>
      <c r="C41" s="82" t="s">
        <v>679</v>
      </c>
      <c r="D41" s="82" t="s">
        <v>708</v>
      </c>
      <c r="E41" s="83" t="s">
        <v>529</v>
      </c>
      <c r="F41" s="83"/>
      <c r="G41" s="83" t="s">
        <v>530</v>
      </c>
      <c r="H41" s="84">
        <v>0.694940476190476</v>
      </c>
      <c r="I41" s="93">
        <v>0.698412698412698</v>
      </c>
      <c r="J41" s="94">
        <v>0.00347222222222222</v>
      </c>
      <c r="K41" s="94"/>
      <c r="L41" s="95">
        <v>0.0178571428571429</v>
      </c>
      <c r="M41" s="96">
        <v>33</v>
      </c>
      <c r="N41" s="83">
        <v>33</v>
      </c>
      <c r="O41" s="97" t="s">
        <v>705</v>
      </c>
      <c r="P41" s="83" t="s">
        <v>109</v>
      </c>
      <c r="Q41" s="81" t="s">
        <v>609</v>
      </c>
    </row>
    <row r="42" spans="1:17">
      <c r="A42" s="81" t="s">
        <v>677</v>
      </c>
      <c r="B42" s="81" t="s">
        <v>709</v>
      </c>
      <c r="C42" s="82" t="s">
        <v>679</v>
      </c>
      <c r="D42" s="82" t="s">
        <v>708</v>
      </c>
      <c r="E42" s="83" t="s">
        <v>529</v>
      </c>
      <c r="F42" s="83"/>
      <c r="G42" s="83" t="s">
        <v>530</v>
      </c>
      <c r="H42" s="84">
        <v>0.733750251155315</v>
      </c>
      <c r="I42" s="93">
        <v>0.735833584488648</v>
      </c>
      <c r="J42" s="94">
        <v>0.00208333333333333</v>
      </c>
      <c r="K42" s="94"/>
      <c r="L42" s="95">
        <v>0.035337552742616</v>
      </c>
      <c r="M42" s="96">
        <v>67</v>
      </c>
      <c r="N42" s="83">
        <v>100</v>
      </c>
      <c r="O42" s="97" t="s">
        <v>710</v>
      </c>
      <c r="P42" s="83" t="s">
        <v>109</v>
      </c>
      <c r="Q42" s="81" t="s">
        <v>609</v>
      </c>
    </row>
    <row r="43" spans="1:17">
      <c r="A43" s="81" t="s">
        <v>677</v>
      </c>
      <c r="B43" s="81" t="s">
        <v>702</v>
      </c>
      <c r="C43" s="82" t="s">
        <v>679</v>
      </c>
      <c r="D43" s="82" t="s">
        <v>708</v>
      </c>
      <c r="E43" s="83" t="s">
        <v>529</v>
      </c>
      <c r="F43" s="83"/>
      <c r="G43" s="83" t="s">
        <v>530</v>
      </c>
      <c r="H43" s="84">
        <v>0.735833584488648</v>
      </c>
      <c r="I43" s="93">
        <v>0.737222473377537</v>
      </c>
      <c r="J43" s="94">
        <v>0.00138888888888889</v>
      </c>
      <c r="K43" s="94"/>
      <c r="L43" s="95">
        <v>0</v>
      </c>
      <c r="M43" s="96">
        <v>0</v>
      </c>
      <c r="N43" s="83">
        <v>100</v>
      </c>
      <c r="O43" s="97" t="s">
        <v>703</v>
      </c>
      <c r="P43" s="83" t="s">
        <v>109</v>
      </c>
      <c r="Q43" s="81" t="s">
        <v>609</v>
      </c>
    </row>
    <row r="44" spans="1:17">
      <c r="A44" s="81" t="s">
        <v>677</v>
      </c>
      <c r="B44" s="81" t="s">
        <v>711</v>
      </c>
      <c r="C44" s="82" t="s">
        <v>679</v>
      </c>
      <c r="D44" s="82" t="s">
        <v>708</v>
      </c>
      <c r="E44" s="83" t="s">
        <v>529</v>
      </c>
      <c r="F44" s="83"/>
      <c r="G44" s="83" t="s">
        <v>530</v>
      </c>
      <c r="H44" s="84">
        <v>0.747461491465392</v>
      </c>
      <c r="I44" s="93">
        <v>0.749544824798725</v>
      </c>
      <c r="J44" s="94">
        <v>0.00208333333333333</v>
      </c>
      <c r="K44" s="94"/>
      <c r="L44" s="95">
        <v>0.0116279069767442</v>
      </c>
      <c r="M44" s="96">
        <v>12</v>
      </c>
      <c r="N44" s="83">
        <v>112</v>
      </c>
      <c r="O44" s="97" t="s">
        <v>712</v>
      </c>
      <c r="P44" s="83" t="s">
        <v>109</v>
      </c>
      <c r="Q44" s="81" t="s">
        <v>609</v>
      </c>
    </row>
    <row r="45" spans="1:17">
      <c r="A45" s="81" t="s">
        <v>677</v>
      </c>
      <c r="B45" s="81" t="s">
        <v>699</v>
      </c>
      <c r="C45" s="82" t="s">
        <v>679</v>
      </c>
      <c r="D45" s="82" t="s">
        <v>708</v>
      </c>
      <c r="E45" s="83" t="s">
        <v>529</v>
      </c>
      <c r="F45" s="83"/>
      <c r="G45" s="83" t="s">
        <v>530</v>
      </c>
      <c r="H45" s="84">
        <v>0.749544824798725</v>
      </c>
      <c r="I45" s="93">
        <v>0.750933713687614</v>
      </c>
      <c r="J45" s="94">
        <v>0.00138888888888889</v>
      </c>
      <c r="K45" s="94"/>
      <c r="L45" s="95">
        <v>0</v>
      </c>
      <c r="M45" s="96">
        <v>0</v>
      </c>
      <c r="N45" s="83">
        <v>100</v>
      </c>
      <c r="O45" s="97" t="s">
        <v>701</v>
      </c>
      <c r="P45" s="83" t="s">
        <v>109</v>
      </c>
      <c r="Q45" s="81" t="s">
        <v>609</v>
      </c>
    </row>
    <row r="46" spans="1:17">
      <c r="A46" s="81" t="s">
        <v>677</v>
      </c>
      <c r="B46" s="81" t="s">
        <v>699</v>
      </c>
      <c r="C46" s="82" t="s">
        <v>679</v>
      </c>
      <c r="D46" s="82" t="s">
        <v>713</v>
      </c>
      <c r="E46" s="83" t="s">
        <v>529</v>
      </c>
      <c r="F46" s="83" t="s">
        <v>535</v>
      </c>
      <c r="G46" s="83"/>
      <c r="H46" s="84">
        <v>0.250119731800766</v>
      </c>
      <c r="I46" s="93">
        <v>0.2709530651341</v>
      </c>
      <c r="J46" s="94">
        <v>0.0208333333333333</v>
      </c>
      <c r="K46" s="94"/>
      <c r="L46" s="95">
        <v>0.0308908045977011</v>
      </c>
      <c r="M46" s="96">
        <v>43</v>
      </c>
      <c r="N46" s="96">
        <v>102</v>
      </c>
      <c r="O46" s="97" t="s">
        <v>701</v>
      </c>
      <c r="P46" s="83" t="s">
        <v>109</v>
      </c>
      <c r="Q46" s="81" t="s">
        <v>714</v>
      </c>
    </row>
    <row r="47" spans="1:17">
      <c r="A47" s="81" t="s">
        <v>677</v>
      </c>
      <c r="B47" s="81" t="s">
        <v>702</v>
      </c>
      <c r="C47" s="82" t="s">
        <v>679</v>
      </c>
      <c r="D47" s="82" t="s">
        <v>713</v>
      </c>
      <c r="E47" s="83" t="s">
        <v>529</v>
      </c>
      <c r="F47" s="83" t="s">
        <v>535</v>
      </c>
      <c r="G47" s="83"/>
      <c r="H47" s="84">
        <v>0.294208879087588</v>
      </c>
      <c r="I47" s="93">
        <v>0.304625545754255</v>
      </c>
      <c r="J47" s="94">
        <v>0.0104166666666667</v>
      </c>
      <c r="K47" s="94"/>
      <c r="L47" s="95">
        <v>0.0232558139534884</v>
      </c>
      <c r="M47" s="96">
        <v>12</v>
      </c>
      <c r="N47" s="96">
        <v>114</v>
      </c>
      <c r="O47" s="97" t="s">
        <v>703</v>
      </c>
      <c r="P47" s="83" t="s">
        <v>109</v>
      </c>
      <c r="Q47" s="81" t="s">
        <v>714</v>
      </c>
    </row>
    <row r="48" spans="1:17">
      <c r="A48" s="81" t="s">
        <v>677</v>
      </c>
      <c r="B48" s="81" t="s">
        <v>704</v>
      </c>
      <c r="C48" s="82" t="s">
        <v>679</v>
      </c>
      <c r="D48" s="82" t="s">
        <v>713</v>
      </c>
      <c r="E48" s="83" t="s">
        <v>529</v>
      </c>
      <c r="F48" s="83" t="s">
        <v>535</v>
      </c>
      <c r="G48" s="83"/>
      <c r="H48" s="84">
        <v>0.35076879644296</v>
      </c>
      <c r="I48" s="93">
        <v>0.361185463109627</v>
      </c>
      <c r="J48" s="94">
        <v>0.0104166666666667</v>
      </c>
      <c r="K48" s="94"/>
      <c r="L48" s="95">
        <v>0.0461432506887052</v>
      </c>
      <c r="M48" s="96">
        <v>67</v>
      </c>
      <c r="N48" s="96">
        <v>181</v>
      </c>
      <c r="O48" s="97" t="s">
        <v>705</v>
      </c>
      <c r="P48" s="83" t="s">
        <v>109</v>
      </c>
      <c r="Q48" s="81" t="s">
        <v>714</v>
      </c>
    </row>
    <row r="49" spans="1:17">
      <c r="A49" s="81" t="s">
        <v>677</v>
      </c>
      <c r="B49" s="81" t="s">
        <v>706</v>
      </c>
      <c r="C49" s="82" t="s">
        <v>679</v>
      </c>
      <c r="D49" s="82" t="s">
        <v>713</v>
      </c>
      <c r="E49" s="83" t="s">
        <v>529</v>
      </c>
      <c r="F49" s="83" t="s">
        <v>535</v>
      </c>
      <c r="G49" s="83"/>
      <c r="H49" s="85">
        <v>0.384102129776293</v>
      </c>
      <c r="I49" s="98">
        <v>0.391046574220738</v>
      </c>
      <c r="J49" s="94">
        <v>0.00694444444444444</v>
      </c>
      <c r="K49" s="94"/>
      <c r="L49" s="95">
        <v>0.0229166666666667</v>
      </c>
      <c r="M49" s="96">
        <v>33</v>
      </c>
      <c r="N49" s="96">
        <v>214</v>
      </c>
      <c r="O49" s="97" t="s">
        <v>707</v>
      </c>
      <c r="P49" s="83" t="s">
        <v>109</v>
      </c>
      <c r="Q49" s="81" t="s">
        <v>714</v>
      </c>
    </row>
    <row r="50" spans="1:17">
      <c r="A50" s="81" t="s">
        <v>677</v>
      </c>
      <c r="B50" s="81" t="s">
        <v>706</v>
      </c>
      <c r="C50" s="82" t="s">
        <v>679</v>
      </c>
      <c r="D50" s="82" t="s">
        <v>713</v>
      </c>
      <c r="E50" s="83" t="s">
        <v>529</v>
      </c>
      <c r="F50" s="83" t="s">
        <v>535</v>
      </c>
      <c r="G50" s="83"/>
      <c r="H50" s="85">
        <v>0.413963240887404</v>
      </c>
      <c r="I50" s="98">
        <v>0.420907685331849</v>
      </c>
      <c r="J50" s="94">
        <v>0.00694444444444444</v>
      </c>
      <c r="K50" s="94"/>
      <c r="L50" s="95">
        <v>0.0229166666666667</v>
      </c>
      <c r="M50" s="96">
        <v>33</v>
      </c>
      <c r="N50" s="96">
        <v>247</v>
      </c>
      <c r="O50" s="97" t="s">
        <v>707</v>
      </c>
      <c r="P50" s="83" t="s">
        <v>109</v>
      </c>
      <c r="Q50" s="81" t="s">
        <v>714</v>
      </c>
    </row>
    <row r="51" spans="1:17">
      <c r="A51" s="81" t="s">
        <v>677</v>
      </c>
      <c r="B51" s="81" t="s">
        <v>715</v>
      </c>
      <c r="C51" s="82" t="s">
        <v>679</v>
      </c>
      <c r="D51" s="82" t="s">
        <v>716</v>
      </c>
      <c r="E51" s="83" t="s">
        <v>717</v>
      </c>
      <c r="F51" s="83" t="s">
        <v>535</v>
      </c>
      <c r="G51" s="83"/>
      <c r="H51" s="84">
        <v>0.311593241330502</v>
      </c>
      <c r="I51" s="93">
        <v>0.315065463552725</v>
      </c>
      <c r="J51" s="94">
        <v>0.00347222222222222</v>
      </c>
      <c r="K51" s="94"/>
      <c r="L51" s="95">
        <v>0.0997876857749469</v>
      </c>
      <c r="M51" s="96">
        <v>188</v>
      </c>
      <c r="N51" s="96">
        <v>188</v>
      </c>
      <c r="O51" s="97" t="s">
        <v>718</v>
      </c>
      <c r="P51" s="83" t="s">
        <v>109</v>
      </c>
      <c r="Q51" s="81" t="s">
        <v>609</v>
      </c>
    </row>
    <row r="52" spans="1:17">
      <c r="A52" s="81" t="s">
        <v>677</v>
      </c>
      <c r="B52" s="81" t="s">
        <v>719</v>
      </c>
      <c r="C52" s="82" t="s">
        <v>679</v>
      </c>
      <c r="D52" s="82" t="s">
        <v>716</v>
      </c>
      <c r="E52" s="83" t="s">
        <v>717</v>
      </c>
      <c r="F52" s="83" t="s">
        <v>535</v>
      </c>
      <c r="G52" s="83"/>
      <c r="H52" s="84">
        <v>0.332922606409867</v>
      </c>
      <c r="I52" s="93">
        <v>0.33639482863209</v>
      </c>
      <c r="J52" s="94">
        <v>0.00347222222222222</v>
      </c>
      <c r="K52" s="94"/>
      <c r="L52" s="95">
        <v>0.0178571428571429</v>
      </c>
      <c r="M52" s="96">
        <v>30</v>
      </c>
      <c r="N52" s="96">
        <v>218</v>
      </c>
      <c r="O52" s="97" t="s">
        <v>720</v>
      </c>
      <c r="P52" s="83" t="s">
        <v>109</v>
      </c>
      <c r="Q52" s="81" t="s">
        <v>609</v>
      </c>
    </row>
    <row r="53" spans="1:17">
      <c r="A53" s="81" t="s">
        <v>677</v>
      </c>
      <c r="B53" s="81" t="s">
        <v>721</v>
      </c>
      <c r="C53" s="82" t="s">
        <v>679</v>
      </c>
      <c r="D53" s="82" t="s">
        <v>716</v>
      </c>
      <c r="E53" s="83" t="s">
        <v>717</v>
      </c>
      <c r="F53" s="83" t="s">
        <v>535</v>
      </c>
      <c r="G53" s="83"/>
      <c r="H53" s="84">
        <v>0.357823400060661</v>
      </c>
      <c r="I53" s="93">
        <v>0.361295622282883</v>
      </c>
      <c r="J53" s="94">
        <v>0.00347222222222222</v>
      </c>
      <c r="K53" s="94"/>
      <c r="L53" s="95">
        <v>0.0214285714285714</v>
      </c>
      <c r="M53" s="96">
        <v>36</v>
      </c>
      <c r="N53" s="96">
        <v>254</v>
      </c>
      <c r="O53" s="97" t="s">
        <v>722</v>
      </c>
      <c r="P53" s="83" t="s">
        <v>109</v>
      </c>
      <c r="Q53" s="81" t="s">
        <v>609</v>
      </c>
    </row>
    <row r="54" spans="1:17">
      <c r="A54" s="81" t="s">
        <v>677</v>
      </c>
      <c r="B54" s="81" t="s">
        <v>723</v>
      </c>
      <c r="C54" s="82" t="s">
        <v>679</v>
      </c>
      <c r="D54" s="82" t="s">
        <v>716</v>
      </c>
      <c r="E54" s="83" t="s">
        <v>717</v>
      </c>
      <c r="F54" s="83" t="s">
        <v>535</v>
      </c>
      <c r="G54" s="83"/>
      <c r="H54" s="84">
        <v>0.377645833253347</v>
      </c>
      <c r="I54" s="93">
        <v>0.38111805547557</v>
      </c>
      <c r="J54" s="94">
        <v>0.00347222222222222</v>
      </c>
      <c r="K54" s="94"/>
      <c r="L54" s="95">
        <v>0.0163502109704641</v>
      </c>
      <c r="M54" s="96">
        <v>31</v>
      </c>
      <c r="N54" s="96">
        <v>285</v>
      </c>
      <c r="O54" s="97" t="s">
        <v>724</v>
      </c>
      <c r="P54" s="83" t="s">
        <v>109</v>
      </c>
      <c r="Q54" s="81" t="s">
        <v>609</v>
      </c>
    </row>
    <row r="55" spans="1:17">
      <c r="A55" s="81" t="s">
        <v>677</v>
      </c>
      <c r="B55" s="81" t="s">
        <v>725</v>
      </c>
      <c r="C55" s="82" t="s">
        <v>679</v>
      </c>
      <c r="D55" s="82" t="s">
        <v>716</v>
      </c>
      <c r="E55" s="83" t="s">
        <v>717</v>
      </c>
      <c r="F55" s="83" t="s">
        <v>535</v>
      </c>
      <c r="G55" s="83"/>
      <c r="H55" s="84">
        <v>0.416925347142236</v>
      </c>
      <c r="I55" s="93">
        <v>0.507203124920014</v>
      </c>
      <c r="J55" s="94">
        <v>0.0902777777777778</v>
      </c>
      <c r="K55" s="94"/>
      <c r="L55" s="95">
        <v>0.0358072916666667</v>
      </c>
      <c r="M55" s="96">
        <v>55</v>
      </c>
      <c r="N55" s="96">
        <v>340</v>
      </c>
      <c r="O55" s="97" t="s">
        <v>726</v>
      </c>
      <c r="P55" s="83" t="s">
        <v>109</v>
      </c>
      <c r="Q55" s="81" t="s">
        <v>609</v>
      </c>
    </row>
    <row r="56" spans="1:17">
      <c r="A56" s="81" t="s">
        <v>677</v>
      </c>
      <c r="B56" s="81" t="s">
        <v>723</v>
      </c>
      <c r="C56" s="82" t="s">
        <v>679</v>
      </c>
      <c r="D56" s="82" t="s">
        <v>716</v>
      </c>
      <c r="E56" s="83" t="s">
        <v>717</v>
      </c>
      <c r="F56" s="83" t="s">
        <v>535</v>
      </c>
      <c r="G56" s="83"/>
      <c r="H56" s="84">
        <v>0.541925347142236</v>
      </c>
      <c r="I56" s="93">
        <v>0.545397569364458</v>
      </c>
      <c r="J56" s="94">
        <v>0.00347222222222222</v>
      </c>
      <c r="K56" s="94"/>
      <c r="L56" s="95">
        <v>0.0347222222222222</v>
      </c>
      <c r="M56" s="96">
        <v>55</v>
      </c>
      <c r="N56" s="96">
        <v>395</v>
      </c>
      <c r="O56" s="97" t="s">
        <v>724</v>
      </c>
      <c r="P56" s="83" t="s">
        <v>109</v>
      </c>
      <c r="Q56" s="81" t="s">
        <v>609</v>
      </c>
    </row>
    <row r="57" spans="1:17">
      <c r="A57" s="81" t="s">
        <v>677</v>
      </c>
      <c r="B57" s="81" t="s">
        <v>679</v>
      </c>
      <c r="C57" s="82" t="s">
        <v>679</v>
      </c>
      <c r="D57" s="82" t="s">
        <v>716</v>
      </c>
      <c r="E57" s="83" t="s">
        <v>727</v>
      </c>
      <c r="F57" s="83"/>
      <c r="G57" s="83" t="s">
        <v>530</v>
      </c>
      <c r="H57" s="84">
        <v>0.201388888888889</v>
      </c>
      <c r="I57" s="93">
        <v>0.211805555555556</v>
      </c>
      <c r="J57" s="94">
        <v>0.0104166666666667</v>
      </c>
      <c r="K57" s="94"/>
      <c r="L57" s="95"/>
      <c r="M57" s="96"/>
      <c r="N57" s="96"/>
      <c r="O57" s="97" t="s">
        <v>728</v>
      </c>
      <c r="P57" s="83" t="s">
        <v>109</v>
      </c>
      <c r="Q57" s="81" t="s">
        <v>609</v>
      </c>
    </row>
    <row r="58" spans="1:17">
      <c r="A58" s="81" t="s">
        <v>677</v>
      </c>
      <c r="B58" s="81" t="s">
        <v>715</v>
      </c>
      <c r="C58" s="82" t="s">
        <v>679</v>
      </c>
      <c r="D58" s="82" t="s">
        <v>716</v>
      </c>
      <c r="E58" s="83" t="s">
        <v>727</v>
      </c>
      <c r="F58" s="83" t="s">
        <v>535</v>
      </c>
      <c r="G58" s="83"/>
      <c r="H58" s="84">
        <v>0.311593241330502</v>
      </c>
      <c r="I58" s="93">
        <v>0.315065463552725</v>
      </c>
      <c r="J58" s="94">
        <v>0.00347222222222222</v>
      </c>
      <c r="K58" s="94"/>
      <c r="L58" s="95">
        <v>0.0997876857749469</v>
      </c>
      <c r="M58" s="96">
        <v>188</v>
      </c>
      <c r="N58" s="96">
        <v>188</v>
      </c>
      <c r="O58" s="97" t="s">
        <v>718</v>
      </c>
      <c r="P58" s="83" t="s">
        <v>109</v>
      </c>
      <c r="Q58" s="81" t="s">
        <v>609</v>
      </c>
    </row>
    <row r="59" spans="1:17">
      <c r="A59" s="81" t="s">
        <v>677</v>
      </c>
      <c r="B59" s="81" t="s">
        <v>719</v>
      </c>
      <c r="C59" s="82" t="s">
        <v>679</v>
      </c>
      <c r="D59" s="82" t="s">
        <v>716</v>
      </c>
      <c r="E59" s="83" t="s">
        <v>727</v>
      </c>
      <c r="F59" s="83" t="s">
        <v>535</v>
      </c>
      <c r="G59" s="83"/>
      <c r="H59" s="84">
        <v>0.332922606409867</v>
      </c>
      <c r="I59" s="93">
        <v>0.33639482863209</v>
      </c>
      <c r="J59" s="94">
        <v>0.00347222222222222</v>
      </c>
      <c r="K59" s="94"/>
      <c r="L59" s="95">
        <v>0.0178571428571429</v>
      </c>
      <c r="M59" s="96">
        <v>30</v>
      </c>
      <c r="N59" s="96">
        <v>218</v>
      </c>
      <c r="O59" s="97" t="s">
        <v>720</v>
      </c>
      <c r="P59" s="83" t="s">
        <v>109</v>
      </c>
      <c r="Q59" s="81" t="s">
        <v>609</v>
      </c>
    </row>
    <row r="60" spans="1:17">
      <c r="A60" s="81" t="s">
        <v>677</v>
      </c>
      <c r="B60" s="81" t="s">
        <v>721</v>
      </c>
      <c r="C60" s="82" t="s">
        <v>679</v>
      </c>
      <c r="D60" s="82" t="s">
        <v>716</v>
      </c>
      <c r="E60" s="83" t="s">
        <v>727</v>
      </c>
      <c r="F60" s="83" t="s">
        <v>535</v>
      </c>
      <c r="G60" s="83"/>
      <c r="H60" s="84">
        <v>0.357823400060661</v>
      </c>
      <c r="I60" s="93">
        <v>0.361295622282883</v>
      </c>
      <c r="J60" s="94">
        <v>0.00347222222222222</v>
      </c>
      <c r="K60" s="94"/>
      <c r="L60" s="95">
        <v>0.0214285714285714</v>
      </c>
      <c r="M60" s="96">
        <v>36</v>
      </c>
      <c r="N60" s="96">
        <v>254</v>
      </c>
      <c r="O60" s="97" t="s">
        <v>722</v>
      </c>
      <c r="P60" s="83" t="s">
        <v>109</v>
      </c>
      <c r="Q60" s="81" t="s">
        <v>609</v>
      </c>
    </row>
    <row r="61" spans="1:17">
      <c r="A61" s="81" t="s">
        <v>677</v>
      </c>
      <c r="B61" s="81" t="s">
        <v>723</v>
      </c>
      <c r="C61" s="82" t="s">
        <v>679</v>
      </c>
      <c r="D61" s="82" t="s">
        <v>716</v>
      </c>
      <c r="E61" s="83" t="s">
        <v>727</v>
      </c>
      <c r="F61" s="83" t="s">
        <v>535</v>
      </c>
      <c r="G61" s="83"/>
      <c r="H61" s="84">
        <v>0.377645833253347</v>
      </c>
      <c r="I61" s="93">
        <v>0.38111805547557</v>
      </c>
      <c r="J61" s="94">
        <v>0.00347222222222222</v>
      </c>
      <c r="K61" s="94"/>
      <c r="L61" s="95">
        <v>0.0163502109704641</v>
      </c>
      <c r="M61" s="96">
        <v>31</v>
      </c>
      <c r="N61" s="96">
        <v>285</v>
      </c>
      <c r="O61" s="97" t="s">
        <v>724</v>
      </c>
      <c r="P61" s="83" t="s">
        <v>109</v>
      </c>
      <c r="Q61" s="81" t="s">
        <v>609</v>
      </c>
    </row>
    <row r="62" spans="1:17">
      <c r="A62" s="81" t="s">
        <v>677</v>
      </c>
      <c r="B62" s="81" t="s">
        <v>723</v>
      </c>
      <c r="C62" s="82" t="s">
        <v>679</v>
      </c>
      <c r="D62" s="82" t="s">
        <v>729</v>
      </c>
      <c r="E62" s="83" t="s">
        <v>730</v>
      </c>
      <c r="F62" s="83"/>
      <c r="G62" s="83" t="s">
        <v>530</v>
      </c>
      <c r="H62" s="84">
        <v>0.559027777777778</v>
      </c>
      <c r="I62" s="93">
        <v>0.5625</v>
      </c>
      <c r="J62" s="94">
        <v>0.00347222222222222</v>
      </c>
      <c r="K62" s="94"/>
      <c r="L62" s="95"/>
      <c r="M62" s="96"/>
      <c r="N62" s="83"/>
      <c r="O62" s="97" t="s">
        <v>724</v>
      </c>
      <c r="P62" s="83" t="s">
        <v>109</v>
      </c>
      <c r="Q62" s="81" t="s">
        <v>609</v>
      </c>
    </row>
    <row r="63" spans="1:17">
      <c r="A63" s="81" t="s">
        <v>677</v>
      </c>
      <c r="B63" s="81" t="s">
        <v>721</v>
      </c>
      <c r="C63" s="82" t="s">
        <v>679</v>
      </c>
      <c r="D63" s="82" t="s">
        <v>729</v>
      </c>
      <c r="E63" s="83" t="s">
        <v>730</v>
      </c>
      <c r="F63" s="83"/>
      <c r="G63" s="83" t="s">
        <v>530</v>
      </c>
      <c r="H63" s="84">
        <v>0.579274891774892</v>
      </c>
      <c r="I63" s="93">
        <v>0.586219336219336</v>
      </c>
      <c r="J63" s="94">
        <v>0.00694444444444444</v>
      </c>
      <c r="K63" s="94"/>
      <c r="L63" s="95">
        <v>0.0167748917748918</v>
      </c>
      <c r="M63" s="96">
        <v>31</v>
      </c>
      <c r="N63" s="83">
        <v>31</v>
      </c>
      <c r="O63" s="97" t="s">
        <v>722</v>
      </c>
      <c r="P63" s="83" t="s">
        <v>109</v>
      </c>
      <c r="Q63" s="81" t="s">
        <v>609</v>
      </c>
    </row>
    <row r="64" spans="1:17">
      <c r="A64" s="81" t="s">
        <v>677</v>
      </c>
      <c r="B64" s="81" t="s">
        <v>719</v>
      </c>
      <c r="C64" s="82" t="s">
        <v>679</v>
      </c>
      <c r="D64" s="82" t="s">
        <v>729</v>
      </c>
      <c r="E64" s="83" t="s">
        <v>730</v>
      </c>
      <c r="F64" s="83"/>
      <c r="G64" s="83" t="s">
        <v>530</v>
      </c>
      <c r="H64" s="84">
        <v>0.608607395920829</v>
      </c>
      <c r="I64" s="93">
        <v>0.612079618143051</v>
      </c>
      <c r="J64" s="94">
        <v>0.00347222222222222</v>
      </c>
      <c r="K64" s="94"/>
      <c r="L64" s="95">
        <v>0.0223880597014925</v>
      </c>
      <c r="M64" s="96">
        <v>36</v>
      </c>
      <c r="N64" s="83">
        <v>67</v>
      </c>
      <c r="O64" s="97" t="s">
        <v>720</v>
      </c>
      <c r="P64" s="83" t="s">
        <v>109</v>
      </c>
      <c r="Q64" s="81" t="s">
        <v>609</v>
      </c>
    </row>
    <row r="65" spans="1:17">
      <c r="A65" s="81" t="s">
        <v>677</v>
      </c>
      <c r="B65" s="81" t="s">
        <v>715</v>
      </c>
      <c r="C65" s="82" t="s">
        <v>679</v>
      </c>
      <c r="D65" s="82" t="s">
        <v>729</v>
      </c>
      <c r="E65" s="83" t="s">
        <v>730</v>
      </c>
      <c r="F65" s="83"/>
      <c r="G65" s="83" t="s">
        <v>530</v>
      </c>
      <c r="H65" s="84">
        <v>0.633631342280982</v>
      </c>
      <c r="I65" s="93">
        <v>0.640575786725426</v>
      </c>
      <c r="J65" s="94">
        <v>0.00694444444444444</v>
      </c>
      <c r="K65" s="94"/>
      <c r="L65" s="95">
        <v>0.021551724137931</v>
      </c>
      <c r="M65" s="96">
        <v>30</v>
      </c>
      <c r="N65" s="83">
        <v>97</v>
      </c>
      <c r="O65" s="97" t="s">
        <v>718</v>
      </c>
      <c r="P65" s="83" t="s">
        <v>109</v>
      </c>
      <c r="Q65" s="81" t="s">
        <v>609</v>
      </c>
    </row>
    <row r="66" spans="1:17">
      <c r="A66" s="81" t="s">
        <v>677</v>
      </c>
      <c r="B66" s="81" t="s">
        <v>731</v>
      </c>
      <c r="C66" s="82" t="s">
        <v>679</v>
      </c>
      <c r="D66" s="82" t="s">
        <v>729</v>
      </c>
      <c r="E66" s="83" t="s">
        <v>730</v>
      </c>
      <c r="F66" s="83"/>
      <c r="G66" s="83" t="s">
        <v>530</v>
      </c>
      <c r="H66" s="84">
        <v>0.660340743990384</v>
      </c>
      <c r="I66" s="93">
        <v>0.667285188434828</v>
      </c>
      <c r="J66" s="94">
        <v>0.00694444444444444</v>
      </c>
      <c r="K66" s="94"/>
      <c r="L66" s="95">
        <v>0.0197649572649573</v>
      </c>
      <c r="M66" s="96">
        <v>37</v>
      </c>
      <c r="N66" s="83">
        <v>134</v>
      </c>
      <c r="O66" s="97" t="s">
        <v>732</v>
      </c>
      <c r="P66" s="83" t="s">
        <v>109</v>
      </c>
      <c r="Q66" s="81" t="s">
        <v>609</v>
      </c>
    </row>
    <row r="67" spans="1:17">
      <c r="A67" s="81" t="s">
        <v>677</v>
      </c>
      <c r="B67" s="81" t="s">
        <v>679</v>
      </c>
      <c r="C67" s="82" t="s">
        <v>679</v>
      </c>
      <c r="D67" s="82" t="s">
        <v>729</v>
      </c>
      <c r="E67" s="83" t="s">
        <v>730</v>
      </c>
      <c r="F67" s="83" t="s">
        <v>535</v>
      </c>
      <c r="G67" s="83"/>
      <c r="H67" s="84">
        <v>0.737192595842236</v>
      </c>
      <c r="I67" s="93">
        <v>0.74413704028668</v>
      </c>
      <c r="J67" s="94">
        <v>0.00694444444444444</v>
      </c>
      <c r="K67" s="94"/>
      <c r="L67" s="95">
        <v>0.0699074074074074</v>
      </c>
      <c r="M67" s="96">
        <v>151</v>
      </c>
      <c r="N67" s="83">
        <v>285</v>
      </c>
      <c r="O67" s="97" t="s">
        <v>728</v>
      </c>
      <c r="P67" s="83" t="s">
        <v>109</v>
      </c>
      <c r="Q67" s="81" t="s">
        <v>609</v>
      </c>
    </row>
    <row r="68" spans="1:17">
      <c r="A68" s="81" t="s">
        <v>677</v>
      </c>
      <c r="B68" s="81" t="s">
        <v>723</v>
      </c>
      <c r="C68" s="82" t="s">
        <v>679</v>
      </c>
      <c r="D68" s="82" t="s">
        <v>729</v>
      </c>
      <c r="E68" s="83" t="s">
        <v>733</v>
      </c>
      <c r="F68" s="83"/>
      <c r="G68" s="83" t="s">
        <v>530</v>
      </c>
      <c r="H68" s="84">
        <v>0.559027777777778</v>
      </c>
      <c r="I68" s="93">
        <v>0.5625</v>
      </c>
      <c r="J68" s="94">
        <v>0.00347222222222222</v>
      </c>
      <c r="K68" s="94"/>
      <c r="L68" s="95"/>
      <c r="M68" s="96"/>
      <c r="N68" s="83"/>
      <c r="O68" s="97" t="s">
        <v>724</v>
      </c>
      <c r="P68" s="83" t="s">
        <v>109</v>
      </c>
      <c r="Q68" s="81" t="s">
        <v>609</v>
      </c>
    </row>
    <row r="69" spans="1:17">
      <c r="A69" s="81" t="s">
        <v>677</v>
      </c>
      <c r="B69" s="81">
        <v>0</v>
      </c>
      <c r="C69" s="82" t="s">
        <v>679</v>
      </c>
      <c r="D69" s="82" t="s">
        <v>729</v>
      </c>
      <c r="E69" s="83" t="s">
        <v>733</v>
      </c>
      <c r="F69" s="83"/>
      <c r="G69" s="83" t="s">
        <v>530</v>
      </c>
      <c r="H69" s="84">
        <v>0.565972222222222</v>
      </c>
      <c r="I69" s="93">
        <v>0.568055555555556</v>
      </c>
      <c r="J69" s="94">
        <v>0.00208333333333333</v>
      </c>
      <c r="K69" s="94"/>
      <c r="L69" s="94">
        <v>0.00347222222222222</v>
      </c>
      <c r="M69" s="96"/>
      <c r="N69" s="83"/>
      <c r="O69" s="97" t="s">
        <v>734</v>
      </c>
      <c r="P69" s="83" t="s">
        <v>109</v>
      </c>
      <c r="Q69" s="81" t="s">
        <v>609</v>
      </c>
    </row>
    <row r="70" spans="1:17">
      <c r="A70" s="81" t="s">
        <v>677</v>
      </c>
      <c r="B70" s="81" t="s">
        <v>721</v>
      </c>
      <c r="C70" s="82" t="s">
        <v>679</v>
      </c>
      <c r="D70" s="82" t="s">
        <v>729</v>
      </c>
      <c r="E70" s="83" t="s">
        <v>733</v>
      </c>
      <c r="F70" s="83"/>
      <c r="G70" s="83" t="s">
        <v>530</v>
      </c>
      <c r="H70" s="84">
        <v>0.57979797979798</v>
      </c>
      <c r="I70" s="93">
        <v>0.586742424242424</v>
      </c>
      <c r="J70" s="94">
        <v>0.00694444444444444</v>
      </c>
      <c r="K70" s="94"/>
      <c r="L70" s="95">
        <v>0.0117424242424242</v>
      </c>
      <c r="M70" s="96">
        <v>31</v>
      </c>
      <c r="N70" s="83">
        <v>31</v>
      </c>
      <c r="O70" s="97" t="s">
        <v>722</v>
      </c>
      <c r="P70" s="83" t="s">
        <v>109</v>
      </c>
      <c r="Q70" s="81" t="s">
        <v>609</v>
      </c>
    </row>
    <row r="71" spans="1:17">
      <c r="A71" s="81" t="s">
        <v>677</v>
      </c>
      <c r="B71" s="81" t="s">
        <v>719</v>
      </c>
      <c r="C71" s="82" t="s">
        <v>679</v>
      </c>
      <c r="D71" s="82" t="s">
        <v>729</v>
      </c>
      <c r="E71" s="83" t="s">
        <v>733</v>
      </c>
      <c r="F71" s="83"/>
      <c r="G71" s="83" t="s">
        <v>530</v>
      </c>
      <c r="H71" s="84">
        <v>0.608801247771836</v>
      </c>
      <c r="I71" s="93">
        <v>0.612273469994058</v>
      </c>
      <c r="J71" s="94">
        <v>0.00347222222222222</v>
      </c>
      <c r="K71" s="94"/>
      <c r="L71" s="95">
        <v>0.0220588235294118</v>
      </c>
      <c r="M71" s="96">
        <v>36</v>
      </c>
      <c r="N71" s="83">
        <v>67</v>
      </c>
      <c r="O71" s="97" t="s">
        <v>720</v>
      </c>
      <c r="P71" s="83" t="s">
        <v>109</v>
      </c>
      <c r="Q71" s="81" t="s">
        <v>609</v>
      </c>
    </row>
    <row r="72" spans="1:17">
      <c r="A72" s="81" t="s">
        <v>677</v>
      </c>
      <c r="B72" s="81" t="s">
        <v>715</v>
      </c>
      <c r="C72" s="82" t="s">
        <v>679</v>
      </c>
      <c r="D72" s="82" t="s">
        <v>729</v>
      </c>
      <c r="E72" s="83" t="s">
        <v>733</v>
      </c>
      <c r="F72" s="83"/>
      <c r="G72" s="83" t="s">
        <v>530</v>
      </c>
      <c r="H72" s="84">
        <v>0.633825194131989</v>
      </c>
      <c r="I72" s="93">
        <v>0.640769638576434</v>
      </c>
      <c r="J72" s="94">
        <v>0.00694444444444444</v>
      </c>
      <c r="K72" s="94"/>
      <c r="L72" s="95">
        <v>0.021551724137931</v>
      </c>
      <c r="M72" s="96">
        <v>30</v>
      </c>
      <c r="N72" s="83">
        <v>97</v>
      </c>
      <c r="O72" s="97" t="s">
        <v>718</v>
      </c>
      <c r="P72" s="83" t="s">
        <v>109</v>
      </c>
      <c r="Q72" s="81" t="s">
        <v>609</v>
      </c>
    </row>
    <row r="73" spans="1:17">
      <c r="A73" s="81" t="s">
        <v>677</v>
      </c>
      <c r="B73" s="81" t="s">
        <v>731</v>
      </c>
      <c r="C73" s="82" t="s">
        <v>679</v>
      </c>
      <c r="D73" s="82" t="s">
        <v>729</v>
      </c>
      <c r="E73" s="83" t="s">
        <v>733</v>
      </c>
      <c r="F73" s="83"/>
      <c r="G73" s="83" t="s">
        <v>530</v>
      </c>
      <c r="H73" s="84">
        <v>0.660284406508923</v>
      </c>
      <c r="I73" s="93">
        <v>0.667228850953367</v>
      </c>
      <c r="J73" s="94">
        <v>0.00694444444444444</v>
      </c>
      <c r="K73" s="94"/>
      <c r="L73" s="95">
        <v>0.0195147679324895</v>
      </c>
      <c r="M73" s="96">
        <v>37</v>
      </c>
      <c r="N73" s="83">
        <v>134</v>
      </c>
      <c r="O73" s="97" t="s">
        <v>732</v>
      </c>
      <c r="P73" s="83" t="s">
        <v>109</v>
      </c>
      <c r="Q73" s="81" t="s">
        <v>609</v>
      </c>
    </row>
    <row r="74" spans="1:17">
      <c r="A74" s="81" t="s">
        <v>677</v>
      </c>
      <c r="B74" s="81" t="s">
        <v>679</v>
      </c>
      <c r="C74" s="82" t="s">
        <v>679</v>
      </c>
      <c r="D74" s="82" t="s">
        <v>729</v>
      </c>
      <c r="E74" s="83" t="s">
        <v>733</v>
      </c>
      <c r="F74" s="83" t="s">
        <v>535</v>
      </c>
      <c r="G74" s="83"/>
      <c r="H74" s="84">
        <v>0.737136258360775</v>
      </c>
      <c r="I74" s="93">
        <v>0.744080702805219</v>
      </c>
      <c r="J74" s="94">
        <v>0.00694444444444444</v>
      </c>
      <c r="K74" s="94"/>
      <c r="L74" s="95">
        <v>0.0699074074074074</v>
      </c>
      <c r="M74" s="96">
        <v>151</v>
      </c>
      <c r="N74" s="83">
        <v>285</v>
      </c>
      <c r="O74" s="97" t="s">
        <v>728</v>
      </c>
      <c r="P74" s="83" t="s">
        <v>109</v>
      </c>
      <c r="Q74" s="81" t="s">
        <v>609</v>
      </c>
    </row>
    <row r="75" spans="1:17">
      <c r="A75" s="81" t="s">
        <v>677</v>
      </c>
      <c r="B75" s="81" t="s">
        <v>723</v>
      </c>
      <c r="C75" s="82" t="s">
        <v>679</v>
      </c>
      <c r="D75" s="82" t="s">
        <v>729</v>
      </c>
      <c r="E75" s="83" t="s">
        <v>735</v>
      </c>
      <c r="F75" s="83"/>
      <c r="G75" s="83" t="s">
        <v>530</v>
      </c>
      <c r="H75" s="84">
        <v>0.534722222222222</v>
      </c>
      <c r="I75" s="93">
        <v>0.541666666666667</v>
      </c>
      <c r="J75" s="94">
        <v>0.00694444444444444</v>
      </c>
      <c r="K75" s="94"/>
      <c r="L75" s="95"/>
      <c r="M75" s="96"/>
      <c r="N75" s="83"/>
      <c r="O75" s="97" t="s">
        <v>724</v>
      </c>
      <c r="P75" s="83" t="s">
        <v>109</v>
      </c>
      <c r="Q75" s="81" t="s">
        <v>609</v>
      </c>
    </row>
    <row r="76" spans="1:17">
      <c r="A76" s="81" t="s">
        <v>677</v>
      </c>
      <c r="B76" s="81" t="s">
        <v>721</v>
      </c>
      <c r="C76" s="82" t="s">
        <v>679</v>
      </c>
      <c r="D76" s="82" t="s">
        <v>729</v>
      </c>
      <c r="E76" s="83" t="s">
        <v>735</v>
      </c>
      <c r="F76" s="83"/>
      <c r="G76" s="83" t="s">
        <v>530</v>
      </c>
      <c r="H76" s="84">
        <v>0.579656862745098</v>
      </c>
      <c r="I76" s="93">
        <v>0.586601307189542</v>
      </c>
      <c r="J76" s="94">
        <v>0.00694444444444444</v>
      </c>
      <c r="K76" s="94"/>
      <c r="L76" s="95">
        <v>0.0379901960784314</v>
      </c>
      <c r="M76" s="96">
        <v>31</v>
      </c>
      <c r="N76" s="83">
        <v>31</v>
      </c>
      <c r="O76" s="97" t="s">
        <v>722</v>
      </c>
      <c r="P76" s="83" t="s">
        <v>109</v>
      </c>
      <c r="Q76" s="81" t="s">
        <v>609</v>
      </c>
    </row>
    <row r="77" spans="1:17">
      <c r="A77" s="81" t="s">
        <v>677</v>
      </c>
      <c r="B77" s="81" t="s">
        <v>719</v>
      </c>
      <c r="C77" s="82" t="s">
        <v>679</v>
      </c>
      <c r="D77" s="82" t="s">
        <v>729</v>
      </c>
      <c r="E77" s="83" t="s">
        <v>735</v>
      </c>
      <c r="F77" s="83"/>
      <c r="G77" s="83" t="s">
        <v>530</v>
      </c>
      <c r="H77" s="84">
        <v>0.608660130718954</v>
      </c>
      <c r="I77" s="93">
        <v>0.612132352941176</v>
      </c>
      <c r="J77" s="94">
        <v>0.00347222222222222</v>
      </c>
      <c r="K77" s="94"/>
      <c r="L77" s="95">
        <v>0.0220588235294118</v>
      </c>
      <c r="M77" s="96">
        <v>36</v>
      </c>
      <c r="N77" s="83">
        <v>67</v>
      </c>
      <c r="O77" s="97" t="s">
        <v>720</v>
      </c>
      <c r="P77" s="83" t="s">
        <v>109</v>
      </c>
      <c r="Q77" s="81" t="s">
        <v>609</v>
      </c>
    </row>
    <row r="78" spans="1:17">
      <c r="A78" s="81" t="s">
        <v>677</v>
      </c>
      <c r="B78" s="81" t="s">
        <v>715</v>
      </c>
      <c r="C78" s="82" t="s">
        <v>679</v>
      </c>
      <c r="D78" s="82" t="s">
        <v>729</v>
      </c>
      <c r="E78" s="83" t="s">
        <v>735</v>
      </c>
      <c r="F78" s="83"/>
      <c r="G78" s="83" t="s">
        <v>530</v>
      </c>
      <c r="H78" s="84">
        <v>0.633684077079107</v>
      </c>
      <c r="I78" s="93">
        <v>0.640628521523552</v>
      </c>
      <c r="J78" s="94">
        <v>0.00694444444444444</v>
      </c>
      <c r="K78" s="94"/>
      <c r="L78" s="95">
        <v>0.021551724137931</v>
      </c>
      <c r="M78" s="96">
        <v>30</v>
      </c>
      <c r="N78" s="83">
        <v>97</v>
      </c>
      <c r="O78" s="97" t="s">
        <v>718</v>
      </c>
      <c r="P78" s="83" t="s">
        <v>109</v>
      </c>
      <c r="Q78" s="81" t="s">
        <v>609</v>
      </c>
    </row>
    <row r="79" spans="1:17">
      <c r="A79" s="81" t="s">
        <v>677</v>
      </c>
      <c r="B79" s="81">
        <v>0</v>
      </c>
      <c r="C79" s="82" t="s">
        <v>679</v>
      </c>
      <c r="D79" s="82" t="s">
        <v>729</v>
      </c>
      <c r="E79" s="83" t="s">
        <v>735</v>
      </c>
      <c r="F79" s="83"/>
      <c r="G79" s="83" t="s">
        <v>530</v>
      </c>
      <c r="H79" s="84">
        <v>0.645833333333333</v>
      </c>
      <c r="I79" s="93">
        <v>0.647222222222222</v>
      </c>
      <c r="J79" s="94">
        <v>0.00138888888888889</v>
      </c>
      <c r="K79" s="94"/>
      <c r="L79" s="95">
        <v>0</v>
      </c>
      <c r="M79" s="96">
        <v>0</v>
      </c>
      <c r="N79" s="83">
        <v>97</v>
      </c>
      <c r="O79" s="97" t="s">
        <v>736</v>
      </c>
      <c r="P79" s="83" t="s">
        <v>109</v>
      </c>
      <c r="Q79" s="81" t="s">
        <v>609</v>
      </c>
    </row>
    <row r="80" spans="1:17">
      <c r="A80" s="81" t="s">
        <v>677</v>
      </c>
      <c r="B80" s="81" t="s">
        <v>731</v>
      </c>
      <c r="C80" s="82" t="s">
        <v>679</v>
      </c>
      <c r="D80" s="82" t="s">
        <v>729</v>
      </c>
      <c r="E80" s="83" t="s">
        <v>735</v>
      </c>
      <c r="F80" s="83"/>
      <c r="G80" s="83" t="s">
        <v>530</v>
      </c>
      <c r="H80" s="84">
        <v>0.66039886039886</v>
      </c>
      <c r="I80" s="93">
        <v>0.667343304843305</v>
      </c>
      <c r="J80" s="94">
        <v>0.00694444444444444</v>
      </c>
      <c r="K80" s="94"/>
      <c r="L80" s="95">
        <v>0.0131766381766382</v>
      </c>
      <c r="M80" s="96">
        <v>37</v>
      </c>
      <c r="N80" s="83">
        <v>134</v>
      </c>
      <c r="O80" s="97" t="s">
        <v>732</v>
      </c>
      <c r="P80" s="83" t="s">
        <v>109</v>
      </c>
      <c r="Q80" s="81" t="s">
        <v>609</v>
      </c>
    </row>
    <row r="81" spans="1:17">
      <c r="A81" s="81" t="s">
        <v>677</v>
      </c>
      <c r="B81" s="81" t="s">
        <v>737</v>
      </c>
      <c r="C81" s="82" t="s">
        <v>679</v>
      </c>
      <c r="D81" s="82" t="s">
        <v>738</v>
      </c>
      <c r="E81" s="83" t="s">
        <v>529</v>
      </c>
      <c r="F81" s="83" t="s">
        <v>535</v>
      </c>
      <c r="G81" s="83"/>
      <c r="H81" s="84">
        <v>0.274679487179487</v>
      </c>
      <c r="I81" s="93">
        <v>0.278151709401709</v>
      </c>
      <c r="J81" s="94">
        <v>0.00347222222222222</v>
      </c>
      <c r="K81" s="94"/>
      <c r="L81" s="95">
        <v>0.0455128205128205</v>
      </c>
      <c r="M81" s="96">
        <v>71</v>
      </c>
      <c r="N81" s="83">
        <v>71</v>
      </c>
      <c r="O81" s="97" t="s">
        <v>739</v>
      </c>
      <c r="P81" s="83" t="s">
        <v>109</v>
      </c>
      <c r="Q81" s="81" t="s">
        <v>609</v>
      </c>
    </row>
    <row r="82" spans="1:17">
      <c r="A82" s="81" t="s">
        <v>677</v>
      </c>
      <c r="B82" s="81" t="s">
        <v>740</v>
      </c>
      <c r="C82" s="82" t="s">
        <v>679</v>
      </c>
      <c r="D82" s="82" t="s">
        <v>738</v>
      </c>
      <c r="E82" s="83" t="s">
        <v>529</v>
      </c>
      <c r="F82" s="83" t="s">
        <v>535</v>
      </c>
      <c r="G82" s="83"/>
      <c r="H82" s="84">
        <v>0.299338150079675</v>
      </c>
      <c r="I82" s="93">
        <v>0.302810372301898</v>
      </c>
      <c r="J82" s="94">
        <v>0.00347222222222222</v>
      </c>
      <c r="K82" s="94"/>
      <c r="L82" s="95">
        <v>0.0211864406779661</v>
      </c>
      <c r="M82" s="96">
        <v>30</v>
      </c>
      <c r="N82" s="83">
        <v>101</v>
      </c>
      <c r="O82" s="97" t="s">
        <v>741</v>
      </c>
      <c r="P82" s="83" t="s">
        <v>109</v>
      </c>
      <c r="Q82" s="81" t="s">
        <v>609</v>
      </c>
    </row>
    <row r="83" spans="1:17">
      <c r="A83" s="81" t="s">
        <v>677</v>
      </c>
      <c r="B83" s="81" t="s">
        <v>742</v>
      </c>
      <c r="C83" s="82" t="s">
        <v>679</v>
      </c>
      <c r="D83" s="82" t="s">
        <v>738</v>
      </c>
      <c r="E83" s="83" t="s">
        <v>529</v>
      </c>
      <c r="F83" s="83" t="s">
        <v>535</v>
      </c>
      <c r="G83" s="83"/>
      <c r="H83" s="84">
        <v>0.34763360462513</v>
      </c>
      <c r="I83" s="93">
        <v>0.351105826847352</v>
      </c>
      <c r="J83" s="94">
        <v>0.00347222222222222</v>
      </c>
      <c r="K83" s="94"/>
      <c r="L83" s="95">
        <v>0.0448232323232323</v>
      </c>
      <c r="M83" s="96">
        <v>71</v>
      </c>
      <c r="N83" s="83">
        <v>172</v>
      </c>
      <c r="O83" s="97" t="s">
        <v>743</v>
      </c>
      <c r="P83" s="83" t="s">
        <v>109</v>
      </c>
      <c r="Q83" s="81" t="s">
        <v>609</v>
      </c>
    </row>
    <row r="84" spans="1:17">
      <c r="A84" s="81" t="s">
        <v>677</v>
      </c>
      <c r="B84" s="81" t="s">
        <v>744</v>
      </c>
      <c r="C84" s="82" t="s">
        <v>679</v>
      </c>
      <c r="D84" s="82" t="s">
        <v>738</v>
      </c>
      <c r="E84" s="83" t="s">
        <v>529</v>
      </c>
      <c r="F84" s="83" t="s">
        <v>535</v>
      </c>
      <c r="G84" s="83"/>
      <c r="H84" s="84">
        <v>0.385828049069574</v>
      </c>
      <c r="I84" s="93">
        <v>0.389300271291797</v>
      </c>
      <c r="J84" s="94">
        <v>0.00347222222222222</v>
      </c>
      <c r="K84" s="94"/>
      <c r="L84" s="95">
        <v>0.0347222222222222</v>
      </c>
      <c r="M84" s="96">
        <v>60</v>
      </c>
      <c r="N84" s="83">
        <v>232</v>
      </c>
      <c r="O84" s="97" t="s">
        <v>745</v>
      </c>
      <c r="P84" s="83" t="s">
        <v>109</v>
      </c>
      <c r="Q84" s="81" t="s">
        <v>609</v>
      </c>
    </row>
    <row r="85" spans="1:17">
      <c r="A85" s="81" t="s">
        <v>677</v>
      </c>
      <c r="B85" s="81" t="s">
        <v>744</v>
      </c>
      <c r="C85" s="82" t="s">
        <v>679</v>
      </c>
      <c r="D85" s="82" t="s">
        <v>746</v>
      </c>
      <c r="E85" s="83" t="s">
        <v>529</v>
      </c>
      <c r="F85" s="83"/>
      <c r="G85" s="83" t="s">
        <v>530</v>
      </c>
      <c r="H85" s="84">
        <v>0.541666666666667</v>
      </c>
      <c r="I85" s="93">
        <v>0.552083333333333</v>
      </c>
      <c r="J85" s="94">
        <v>0.0104166666666667</v>
      </c>
      <c r="K85" s="94"/>
      <c r="L85" s="95"/>
      <c r="M85" s="96"/>
      <c r="N85" s="83"/>
      <c r="O85" s="97" t="s">
        <v>745</v>
      </c>
      <c r="P85" s="83" t="s">
        <v>109</v>
      </c>
      <c r="Q85" s="81" t="s">
        <v>609</v>
      </c>
    </row>
    <row r="86" spans="1:17">
      <c r="A86" s="81" t="s">
        <v>677</v>
      </c>
      <c r="B86" s="81" t="s">
        <v>742</v>
      </c>
      <c r="C86" s="82" t="s">
        <v>679</v>
      </c>
      <c r="D86" s="82" t="s">
        <v>746</v>
      </c>
      <c r="E86" s="83" t="s">
        <v>529</v>
      </c>
      <c r="F86" s="83"/>
      <c r="G86" s="83" t="s">
        <v>530</v>
      </c>
      <c r="H86" s="84">
        <v>0.590544871794872</v>
      </c>
      <c r="I86" s="93">
        <v>0.594017094017094</v>
      </c>
      <c r="J86" s="94">
        <v>0.00347222222222222</v>
      </c>
      <c r="K86" s="94"/>
      <c r="L86" s="95">
        <v>0.0384615384615385</v>
      </c>
      <c r="M86" s="96">
        <v>60</v>
      </c>
      <c r="N86" s="83">
        <v>60</v>
      </c>
      <c r="O86" s="97" t="s">
        <v>743</v>
      </c>
      <c r="P86" s="83" t="s">
        <v>109</v>
      </c>
      <c r="Q86" s="81" t="s">
        <v>609</v>
      </c>
    </row>
    <row r="87" spans="1:17">
      <c r="A87" s="81" t="s">
        <v>677</v>
      </c>
      <c r="B87" s="81" t="s">
        <v>740</v>
      </c>
      <c r="C87" s="82" t="s">
        <v>679</v>
      </c>
      <c r="D87" s="82" t="s">
        <v>746</v>
      </c>
      <c r="E87" s="83" t="s">
        <v>529</v>
      </c>
      <c r="F87" s="83"/>
      <c r="G87" s="83" t="s">
        <v>530</v>
      </c>
      <c r="H87" s="84">
        <v>0.638840326340326</v>
      </c>
      <c r="I87" s="93">
        <v>0.645784770784771</v>
      </c>
      <c r="J87" s="94">
        <v>0.00694444444444444</v>
      </c>
      <c r="K87" s="94"/>
      <c r="L87" s="95">
        <v>0.0448232323232323</v>
      </c>
      <c r="M87" s="96">
        <v>71</v>
      </c>
      <c r="N87" s="83">
        <v>131</v>
      </c>
      <c r="O87" s="97" t="s">
        <v>741</v>
      </c>
      <c r="P87" s="83" t="s">
        <v>109</v>
      </c>
      <c r="Q87" s="81" t="s">
        <v>609</v>
      </c>
    </row>
    <row r="88" spans="1:17">
      <c r="A88" s="81" t="s">
        <v>677</v>
      </c>
      <c r="B88" s="81" t="s">
        <v>747</v>
      </c>
      <c r="C88" s="82" t="s">
        <v>679</v>
      </c>
      <c r="D88" s="82" t="s">
        <v>746</v>
      </c>
      <c r="E88" s="83" t="s">
        <v>529</v>
      </c>
      <c r="F88" s="83"/>
      <c r="G88" s="83" t="s">
        <v>530</v>
      </c>
      <c r="H88" s="84">
        <v>0.649305555555556</v>
      </c>
      <c r="I88" s="93">
        <v>0.652777777777778</v>
      </c>
      <c r="J88" s="94">
        <v>0.00347222222222222</v>
      </c>
      <c r="K88" s="94"/>
      <c r="L88" s="95">
        <v>0</v>
      </c>
      <c r="M88" s="96">
        <v>0</v>
      </c>
      <c r="N88" s="83">
        <v>131</v>
      </c>
      <c r="O88" s="97" t="s">
        <v>741</v>
      </c>
      <c r="P88" s="83" t="s">
        <v>109</v>
      </c>
      <c r="Q88" s="81" t="s">
        <v>609</v>
      </c>
    </row>
    <row r="89" spans="1:17">
      <c r="A89" s="81" t="s">
        <v>677</v>
      </c>
      <c r="B89" s="81" t="s">
        <v>748</v>
      </c>
      <c r="C89" s="82" t="s">
        <v>679</v>
      </c>
      <c r="D89" s="82" t="s">
        <v>746</v>
      </c>
      <c r="E89" s="83" t="s">
        <v>529</v>
      </c>
      <c r="F89" s="83"/>
      <c r="G89" s="83" t="s">
        <v>530</v>
      </c>
      <c r="H89" s="84">
        <v>0.65625</v>
      </c>
      <c r="I89" s="93">
        <v>0.659722222222222</v>
      </c>
      <c r="J89" s="94">
        <v>0.00347222222222222</v>
      </c>
      <c r="K89" s="94"/>
      <c r="L89" s="95">
        <v>0</v>
      </c>
      <c r="M89" s="96">
        <v>0</v>
      </c>
      <c r="N89" s="83">
        <v>131</v>
      </c>
      <c r="O89" s="97" t="s">
        <v>741</v>
      </c>
      <c r="P89" s="83" t="s">
        <v>109</v>
      </c>
      <c r="Q89" s="81" t="s">
        <v>609</v>
      </c>
    </row>
    <row r="90" spans="1:17">
      <c r="A90" s="81" t="s">
        <v>677</v>
      </c>
      <c r="B90" s="81" t="s">
        <v>737</v>
      </c>
      <c r="C90" s="82" t="s">
        <v>679</v>
      </c>
      <c r="D90" s="82" t="s">
        <v>746</v>
      </c>
      <c r="E90" s="83" t="s">
        <v>529</v>
      </c>
      <c r="F90" s="83"/>
      <c r="G90" s="83" t="s">
        <v>530</v>
      </c>
      <c r="H90" s="84">
        <v>0.682449494949495</v>
      </c>
      <c r="I90" s="93">
        <v>0.685921717171717</v>
      </c>
      <c r="J90" s="94">
        <v>0.00347222222222222</v>
      </c>
      <c r="K90" s="94"/>
      <c r="L90" s="95">
        <v>0.0227272727272727</v>
      </c>
      <c r="M90" s="96">
        <v>30</v>
      </c>
      <c r="N90" s="83">
        <v>161</v>
      </c>
      <c r="O90" s="97" t="s">
        <v>739</v>
      </c>
      <c r="P90" s="83" t="s">
        <v>109</v>
      </c>
      <c r="Q90" s="81" t="s">
        <v>609</v>
      </c>
    </row>
    <row r="91" spans="1:17">
      <c r="A91" s="81" t="s">
        <v>677</v>
      </c>
      <c r="B91" s="81" t="s">
        <v>749</v>
      </c>
      <c r="C91" s="82" t="s">
        <v>679</v>
      </c>
      <c r="D91" s="82" t="s">
        <v>750</v>
      </c>
      <c r="E91" s="83" t="s">
        <v>717</v>
      </c>
      <c r="F91" s="83" t="s">
        <v>535</v>
      </c>
      <c r="G91" s="83"/>
      <c r="H91" s="84">
        <v>0.271428406359771</v>
      </c>
      <c r="I91" s="93">
        <v>0.274900628581993</v>
      </c>
      <c r="J91" s="94">
        <v>0.00347222222222222</v>
      </c>
      <c r="K91" s="94"/>
      <c r="L91" s="95">
        <v>0.0596228508042152</v>
      </c>
      <c r="M91" s="96">
        <v>86</v>
      </c>
      <c r="N91" s="96">
        <v>86</v>
      </c>
      <c r="O91" s="97" t="s">
        <v>751</v>
      </c>
      <c r="P91" s="83" t="s">
        <v>109</v>
      </c>
      <c r="Q91" s="81" t="s">
        <v>609</v>
      </c>
    </row>
    <row r="92" spans="1:17">
      <c r="A92" s="81" t="s">
        <v>677</v>
      </c>
      <c r="B92" s="81" t="s">
        <v>752</v>
      </c>
      <c r="C92" s="82" t="s">
        <v>679</v>
      </c>
      <c r="D92" s="82" t="s">
        <v>750</v>
      </c>
      <c r="E92" s="83" t="s">
        <v>717</v>
      </c>
      <c r="F92" s="83" t="s">
        <v>535</v>
      </c>
      <c r="G92" s="83"/>
      <c r="H92" s="84">
        <v>0.323114914296279</v>
      </c>
      <c r="I92" s="93">
        <v>0.326587136518501</v>
      </c>
      <c r="J92" s="94">
        <v>0.00347222222222222</v>
      </c>
      <c r="K92" s="94"/>
      <c r="L92" s="95">
        <v>0.0482142857142857</v>
      </c>
      <c r="M92" s="96">
        <v>81</v>
      </c>
      <c r="N92" s="83">
        <v>167</v>
      </c>
      <c r="O92" s="97" t="s">
        <v>753</v>
      </c>
      <c r="P92" s="83" t="s">
        <v>109</v>
      </c>
      <c r="Q92" s="81" t="s">
        <v>609</v>
      </c>
    </row>
    <row r="93" spans="1:17">
      <c r="A93" s="81" t="s">
        <v>677</v>
      </c>
      <c r="B93" s="81" t="s">
        <v>754</v>
      </c>
      <c r="C93" s="82" t="s">
        <v>679</v>
      </c>
      <c r="D93" s="82" t="s">
        <v>750</v>
      </c>
      <c r="E93" s="83" t="s">
        <v>717</v>
      </c>
      <c r="F93" s="83" t="s">
        <v>535</v>
      </c>
      <c r="G93" s="83"/>
      <c r="H93" s="84">
        <v>0.364407649339014</v>
      </c>
      <c r="I93" s="93">
        <v>0.367879871561236</v>
      </c>
      <c r="J93" s="94">
        <v>0.00347222222222222</v>
      </c>
      <c r="K93" s="94"/>
      <c r="L93" s="95">
        <v>0.0378205128205128</v>
      </c>
      <c r="M93" s="96">
        <v>59</v>
      </c>
      <c r="N93" s="83">
        <v>226</v>
      </c>
      <c r="O93" s="97" t="s">
        <v>755</v>
      </c>
      <c r="P93" s="83" t="s">
        <v>109</v>
      </c>
      <c r="Q93" s="81" t="s">
        <v>609</v>
      </c>
    </row>
    <row r="94" spans="1:17">
      <c r="A94" s="81" t="s">
        <v>677</v>
      </c>
      <c r="B94" s="81" t="s">
        <v>756</v>
      </c>
      <c r="C94" s="82" t="s">
        <v>679</v>
      </c>
      <c r="D94" s="82" t="s">
        <v>750</v>
      </c>
      <c r="E94" s="83" t="s">
        <v>717</v>
      </c>
      <c r="F94" s="83" t="s">
        <v>535</v>
      </c>
      <c r="G94" s="83"/>
      <c r="H94" s="84">
        <v>0.406341410022774</v>
      </c>
      <c r="I94" s="93">
        <v>0.409813632244997</v>
      </c>
      <c r="J94" s="94">
        <v>0.00347222222222222</v>
      </c>
      <c r="K94" s="94"/>
      <c r="L94" s="95">
        <v>0.0384615384615385</v>
      </c>
      <c r="M94" s="96">
        <v>60</v>
      </c>
      <c r="N94" s="83">
        <v>286</v>
      </c>
      <c r="O94" s="97" t="s">
        <v>757</v>
      </c>
      <c r="P94" s="83" t="s">
        <v>109</v>
      </c>
      <c r="Q94" s="81" t="s">
        <v>609</v>
      </c>
    </row>
    <row r="95" spans="1:17">
      <c r="A95" s="81" t="s">
        <v>677</v>
      </c>
      <c r="B95" s="81" t="s">
        <v>758</v>
      </c>
      <c r="C95" s="82" t="s">
        <v>679</v>
      </c>
      <c r="D95" s="82" t="s">
        <v>750</v>
      </c>
      <c r="E95" s="83" t="s">
        <v>717</v>
      </c>
      <c r="F95" s="83" t="s">
        <v>535</v>
      </c>
      <c r="G95" s="83"/>
      <c r="H95" s="84">
        <v>0.459813632244997</v>
      </c>
      <c r="I95" s="93">
        <v>0.463285854467219</v>
      </c>
      <c r="J95" s="94">
        <v>0.00347222222222222</v>
      </c>
      <c r="K95" s="94"/>
      <c r="L95" s="95">
        <v>0.05</v>
      </c>
      <c r="M95" s="96">
        <v>78</v>
      </c>
      <c r="N95" s="83">
        <v>364</v>
      </c>
      <c r="O95" s="97" t="s">
        <v>759</v>
      </c>
      <c r="P95" s="83" t="s">
        <v>109</v>
      </c>
      <c r="Q95" s="81" t="s">
        <v>609</v>
      </c>
    </row>
    <row r="96" spans="1:17">
      <c r="A96" s="81" t="s">
        <v>677</v>
      </c>
      <c r="B96" s="81" t="s">
        <v>749</v>
      </c>
      <c r="C96" s="82" t="s">
        <v>679</v>
      </c>
      <c r="D96" s="82" t="s">
        <v>750</v>
      </c>
      <c r="E96" s="83" t="s">
        <v>727</v>
      </c>
      <c r="F96" s="83" t="s">
        <v>535</v>
      </c>
      <c r="G96" s="83"/>
      <c r="H96" s="84">
        <v>0.29229797979798</v>
      </c>
      <c r="I96" s="93">
        <v>0.295770202020202</v>
      </c>
      <c r="J96" s="94">
        <v>0.00347222222222222</v>
      </c>
      <c r="K96" s="94"/>
      <c r="L96" s="95">
        <v>0.0804924242424242</v>
      </c>
      <c r="M96" s="96">
        <v>85</v>
      </c>
      <c r="N96" s="96">
        <v>85</v>
      </c>
      <c r="O96" s="97" t="s">
        <v>751</v>
      </c>
      <c r="P96" s="83" t="s">
        <v>109</v>
      </c>
      <c r="Q96" s="81" t="s">
        <v>609</v>
      </c>
    </row>
    <row r="97" spans="1:17">
      <c r="A97" s="81" t="s">
        <v>677</v>
      </c>
      <c r="B97" s="81" t="s">
        <v>752</v>
      </c>
      <c r="C97" s="82" t="s">
        <v>679</v>
      </c>
      <c r="D97" s="82" t="s">
        <v>750</v>
      </c>
      <c r="E97" s="83" t="s">
        <v>727</v>
      </c>
      <c r="F97" s="83" t="s">
        <v>535</v>
      </c>
      <c r="G97" s="83"/>
      <c r="H97" s="84">
        <v>0.340815247065247</v>
      </c>
      <c r="I97" s="93">
        <v>0.344287469287469</v>
      </c>
      <c r="J97" s="94">
        <v>0.00347222222222222</v>
      </c>
      <c r="K97" s="94"/>
      <c r="L97" s="95">
        <v>0.045045045045045</v>
      </c>
      <c r="M97" s="96">
        <v>80</v>
      </c>
      <c r="N97" s="83">
        <v>165</v>
      </c>
      <c r="O97" s="97" t="s">
        <v>753</v>
      </c>
      <c r="P97" s="83" t="s">
        <v>109</v>
      </c>
      <c r="Q97" s="81" t="s">
        <v>609</v>
      </c>
    </row>
    <row r="98" spans="1:17">
      <c r="A98" s="81" t="s">
        <v>677</v>
      </c>
      <c r="B98" s="81" t="s">
        <v>758</v>
      </c>
      <c r="C98" s="82" t="s">
        <v>679</v>
      </c>
      <c r="D98" s="82" t="s">
        <v>750</v>
      </c>
      <c r="E98" s="83" t="s">
        <v>727</v>
      </c>
      <c r="F98" s="83" t="s">
        <v>535</v>
      </c>
      <c r="G98" s="83"/>
      <c r="H98" s="84">
        <v>0.396228108556876</v>
      </c>
      <c r="I98" s="93">
        <v>0.399700330779098</v>
      </c>
      <c r="J98" s="94">
        <v>0.00347222222222222</v>
      </c>
      <c r="K98" s="94"/>
      <c r="L98" s="95">
        <v>0.0519406392694064</v>
      </c>
      <c r="M98" s="96">
        <v>91</v>
      </c>
      <c r="N98" s="83">
        <v>256</v>
      </c>
      <c r="O98" s="97" t="s">
        <v>759</v>
      </c>
      <c r="P98" s="83" t="s">
        <v>109</v>
      </c>
      <c r="Q98" s="81" t="s">
        <v>609</v>
      </c>
    </row>
    <row r="99" spans="1:17">
      <c r="A99" s="81" t="s">
        <v>677</v>
      </c>
      <c r="B99" s="81" t="s">
        <v>758</v>
      </c>
      <c r="C99" s="82" t="s">
        <v>679</v>
      </c>
      <c r="D99" s="82" t="s">
        <v>760</v>
      </c>
      <c r="E99" s="83" t="s">
        <v>529</v>
      </c>
      <c r="F99" s="83"/>
      <c r="G99" s="83" t="s">
        <v>530</v>
      </c>
      <c r="H99" s="84">
        <v>0.513888888888889</v>
      </c>
      <c r="I99" s="93">
        <v>0.520833333333333</v>
      </c>
      <c r="J99" s="94">
        <v>0.00694444444444444</v>
      </c>
      <c r="K99" s="94"/>
      <c r="L99" s="95"/>
      <c r="M99" s="96"/>
      <c r="N99" s="83"/>
      <c r="O99" s="97" t="s">
        <v>759</v>
      </c>
      <c r="P99" s="83" t="s">
        <v>109</v>
      </c>
      <c r="Q99" s="81" t="s">
        <v>609</v>
      </c>
    </row>
    <row r="100" spans="1:17">
      <c r="A100" s="81" t="s">
        <v>677</v>
      </c>
      <c r="B100" s="81" t="s">
        <v>752</v>
      </c>
      <c r="C100" s="82" t="s">
        <v>679</v>
      </c>
      <c r="D100" s="82" t="s">
        <v>760</v>
      </c>
      <c r="E100" s="83" t="s">
        <v>529</v>
      </c>
      <c r="F100" s="83"/>
      <c r="G100" s="83" t="s">
        <v>530</v>
      </c>
      <c r="H100" s="84">
        <v>0.571388888888889</v>
      </c>
      <c r="I100" s="93">
        <v>0.580416666666667</v>
      </c>
      <c r="J100" s="94">
        <v>0.00902777777777778</v>
      </c>
      <c r="K100" s="94"/>
      <c r="L100" s="95">
        <v>0.0505555555555556</v>
      </c>
      <c r="M100" s="96">
        <v>91</v>
      </c>
      <c r="N100" s="83">
        <v>91</v>
      </c>
      <c r="O100" s="97" t="s">
        <v>753</v>
      </c>
      <c r="P100" s="83" t="s">
        <v>109</v>
      </c>
      <c r="Q100" s="81" t="s">
        <v>609</v>
      </c>
    </row>
    <row r="101" spans="1:17">
      <c r="A101" s="81" t="s">
        <v>677</v>
      </c>
      <c r="B101" s="81" t="s">
        <v>749</v>
      </c>
      <c r="C101" s="82" t="s">
        <v>679</v>
      </c>
      <c r="D101" s="82" t="s">
        <v>760</v>
      </c>
      <c r="E101" s="83" t="s">
        <v>529</v>
      </c>
      <c r="F101" s="83"/>
      <c r="G101" s="83" t="s">
        <v>530</v>
      </c>
      <c r="H101" s="84">
        <v>0.637887931034483</v>
      </c>
      <c r="I101" s="93">
        <v>0.644832375478927</v>
      </c>
      <c r="J101" s="94">
        <v>0.00694444444444444</v>
      </c>
      <c r="K101" s="94"/>
      <c r="L101" s="95">
        <v>0.0574712643678161</v>
      </c>
      <c r="M101" s="96">
        <v>80</v>
      </c>
      <c r="N101" s="83">
        <v>171</v>
      </c>
      <c r="O101" s="97" t="s">
        <v>751</v>
      </c>
      <c r="P101" s="83" t="s">
        <v>109</v>
      </c>
      <c r="Q101" s="81" t="s">
        <v>609</v>
      </c>
    </row>
    <row r="102" spans="1:17">
      <c r="A102" s="81" t="s">
        <v>677</v>
      </c>
      <c r="B102" s="81" t="s">
        <v>685</v>
      </c>
      <c r="C102" s="82" t="s">
        <v>679</v>
      </c>
      <c r="D102" s="82" t="s">
        <v>761</v>
      </c>
      <c r="E102" s="83" t="s">
        <v>529</v>
      </c>
      <c r="F102" s="83" t="s">
        <v>535</v>
      </c>
      <c r="G102" s="83"/>
      <c r="H102" s="84">
        <v>0.256530326197757</v>
      </c>
      <c r="I102" s="93">
        <v>0.26000254841998</v>
      </c>
      <c r="J102" s="94">
        <v>0.00347222222222222</v>
      </c>
      <c r="K102" s="94"/>
      <c r="L102" s="95">
        <v>0.0447247706422018</v>
      </c>
      <c r="M102" s="96">
        <v>117</v>
      </c>
      <c r="N102" s="83">
        <v>117</v>
      </c>
      <c r="O102" s="97" t="s">
        <v>686</v>
      </c>
      <c r="P102" s="83" t="s">
        <v>109</v>
      </c>
      <c r="Q102" s="81" t="s">
        <v>609</v>
      </c>
    </row>
    <row r="103" spans="1:17">
      <c r="A103" s="81" t="s">
        <v>677</v>
      </c>
      <c r="B103" s="81" t="s">
        <v>731</v>
      </c>
      <c r="C103" s="82" t="s">
        <v>679</v>
      </c>
      <c r="D103" s="82" t="s">
        <v>761</v>
      </c>
      <c r="E103" s="83" t="s">
        <v>529</v>
      </c>
      <c r="F103" s="83" t="s">
        <v>535</v>
      </c>
      <c r="G103" s="83"/>
      <c r="H103" s="84">
        <v>0.302710881753313</v>
      </c>
      <c r="I103" s="93">
        <v>0.306183103975535</v>
      </c>
      <c r="J103" s="94">
        <v>0.00347222222222222</v>
      </c>
      <c r="K103" s="94"/>
      <c r="L103" s="95">
        <v>0.0427083333333333</v>
      </c>
      <c r="M103" s="96">
        <v>82</v>
      </c>
      <c r="N103" s="83">
        <v>199</v>
      </c>
      <c r="O103" s="97" t="s">
        <v>732</v>
      </c>
      <c r="P103" s="83" t="s">
        <v>109</v>
      </c>
      <c r="Q103" s="81" t="s">
        <v>609</v>
      </c>
    </row>
    <row r="104" spans="1:17">
      <c r="A104" s="81" t="s">
        <v>677</v>
      </c>
      <c r="B104" s="81" t="s">
        <v>731</v>
      </c>
      <c r="C104" s="82" t="s">
        <v>679</v>
      </c>
      <c r="D104" s="82" t="s">
        <v>762</v>
      </c>
      <c r="E104" s="83" t="s">
        <v>529</v>
      </c>
      <c r="F104" s="83"/>
      <c r="G104" s="83" t="s">
        <v>530</v>
      </c>
      <c r="H104" s="84">
        <v>0.3125</v>
      </c>
      <c r="I104" s="93">
        <v>0.322916666666667</v>
      </c>
      <c r="J104" s="94">
        <v>0.0104166666666667</v>
      </c>
      <c r="K104" s="94"/>
      <c r="L104" s="95"/>
      <c r="M104" s="96"/>
      <c r="N104" s="83"/>
      <c r="O104" s="97" t="s">
        <v>732</v>
      </c>
      <c r="P104" s="83" t="s">
        <v>109</v>
      </c>
      <c r="Q104" s="81" t="s">
        <v>609</v>
      </c>
    </row>
    <row r="105" spans="1:17">
      <c r="A105" s="81" t="s">
        <v>677</v>
      </c>
      <c r="B105" s="81" t="s">
        <v>685</v>
      </c>
      <c r="C105" s="82" t="s">
        <v>679</v>
      </c>
      <c r="D105" s="82" t="s">
        <v>762</v>
      </c>
      <c r="E105" s="83" t="s">
        <v>529</v>
      </c>
      <c r="F105" s="83"/>
      <c r="G105" s="83" t="s">
        <v>530</v>
      </c>
      <c r="H105" s="84">
        <v>0.368472222222222</v>
      </c>
      <c r="I105" s="93">
        <v>0.371944444444444</v>
      </c>
      <c r="J105" s="94">
        <v>0.00347222222222222</v>
      </c>
      <c r="K105" s="94"/>
      <c r="L105" s="95">
        <v>0.0455555555555556</v>
      </c>
      <c r="M105" s="96">
        <v>82</v>
      </c>
      <c r="N105" s="83">
        <v>82</v>
      </c>
      <c r="O105" s="97" t="s">
        <v>686</v>
      </c>
      <c r="P105" s="83" t="s">
        <v>109</v>
      </c>
      <c r="Q105" s="81" t="s">
        <v>609</v>
      </c>
    </row>
    <row r="106" spans="1:17">
      <c r="A106" s="81" t="s">
        <v>677</v>
      </c>
      <c r="B106" s="81" t="s">
        <v>763</v>
      </c>
      <c r="C106" s="82" t="s">
        <v>679</v>
      </c>
      <c r="D106" s="82" t="s">
        <v>762</v>
      </c>
      <c r="E106" s="83" t="s">
        <v>529</v>
      </c>
      <c r="F106" s="83"/>
      <c r="G106" s="83" t="s">
        <v>530</v>
      </c>
      <c r="H106" s="84">
        <v>0.389206349206349</v>
      </c>
      <c r="I106" s="93">
        <v>0.392678571428571</v>
      </c>
      <c r="J106" s="94">
        <v>0.00347222222222222</v>
      </c>
      <c r="K106" s="94"/>
      <c r="L106" s="95">
        <v>0.0172619047619048</v>
      </c>
      <c r="M106" s="96">
        <v>29</v>
      </c>
      <c r="N106" s="96">
        <v>111</v>
      </c>
      <c r="O106" s="97" t="s">
        <v>764</v>
      </c>
      <c r="P106" s="83" t="s">
        <v>109</v>
      </c>
      <c r="Q106" s="81" t="s">
        <v>609</v>
      </c>
    </row>
    <row r="107" spans="1:17">
      <c r="A107" s="81" t="s">
        <v>677</v>
      </c>
      <c r="B107" s="81" t="s">
        <v>731</v>
      </c>
      <c r="C107" s="82" t="s">
        <v>679</v>
      </c>
      <c r="D107" s="82" t="s">
        <v>765</v>
      </c>
      <c r="E107" s="83" t="s">
        <v>766</v>
      </c>
      <c r="F107" s="83" t="s">
        <v>535</v>
      </c>
      <c r="G107" s="83"/>
      <c r="H107" s="84">
        <v>0.302554143126177</v>
      </c>
      <c r="I107" s="93">
        <v>0.306026365348399</v>
      </c>
      <c r="J107" s="94">
        <v>0.00347222222222222</v>
      </c>
      <c r="K107" s="94"/>
      <c r="L107" s="95">
        <v>0.111581920903955</v>
      </c>
      <c r="M107" s="96">
        <v>158</v>
      </c>
      <c r="N107" s="83">
        <v>158</v>
      </c>
      <c r="O107" s="97" t="s">
        <v>732</v>
      </c>
      <c r="P107" s="83" t="s">
        <v>109</v>
      </c>
      <c r="Q107" s="81" t="s">
        <v>609</v>
      </c>
    </row>
    <row r="108" spans="1:17">
      <c r="A108" s="81" t="s">
        <v>677</v>
      </c>
      <c r="B108" s="81" t="s">
        <v>723</v>
      </c>
      <c r="C108" s="82" t="s">
        <v>679</v>
      </c>
      <c r="D108" s="82" t="s">
        <v>765</v>
      </c>
      <c r="E108" s="83" t="s">
        <v>766</v>
      </c>
      <c r="F108" s="83" t="s">
        <v>535</v>
      </c>
      <c r="G108" s="83" t="s">
        <v>530</v>
      </c>
      <c r="H108" s="84">
        <v>0.353506985503438</v>
      </c>
      <c r="I108" s="93">
        <v>0.517395874392327</v>
      </c>
      <c r="J108" s="94">
        <v>0.163888888888889</v>
      </c>
      <c r="K108" s="94"/>
      <c r="L108" s="95">
        <v>0.0474806201550388</v>
      </c>
      <c r="M108" s="96">
        <v>98</v>
      </c>
      <c r="N108" s="83">
        <v>256</v>
      </c>
      <c r="O108" s="97" t="s">
        <v>724</v>
      </c>
      <c r="P108" s="83" t="s">
        <v>109</v>
      </c>
      <c r="Q108" s="81" t="s">
        <v>609</v>
      </c>
    </row>
    <row r="109" spans="1:17">
      <c r="A109" s="81" t="s">
        <v>677</v>
      </c>
      <c r="B109" s="81" t="s">
        <v>731</v>
      </c>
      <c r="C109" s="82" t="s">
        <v>679</v>
      </c>
      <c r="D109" s="82" t="s">
        <v>765</v>
      </c>
      <c r="E109" s="83" t="s">
        <v>766</v>
      </c>
      <c r="F109" s="83"/>
      <c r="G109" s="83" t="s">
        <v>530</v>
      </c>
      <c r="H109" s="84">
        <v>0.565435090078601</v>
      </c>
      <c r="I109" s="93">
        <v>0.568907312300824</v>
      </c>
      <c r="J109" s="94">
        <v>0.00347222222222222</v>
      </c>
      <c r="K109" s="94"/>
      <c r="L109" s="95">
        <v>0.0480392156862745</v>
      </c>
      <c r="M109" s="96">
        <v>98</v>
      </c>
      <c r="N109" s="83">
        <v>354</v>
      </c>
      <c r="O109" s="97" t="s">
        <v>732</v>
      </c>
      <c r="P109" s="83" t="s">
        <v>109</v>
      </c>
      <c r="Q109" s="81" t="s">
        <v>609</v>
      </c>
    </row>
    <row r="110" spans="1:17">
      <c r="A110" s="81" t="s">
        <v>677</v>
      </c>
      <c r="B110" s="101" t="s">
        <v>107</v>
      </c>
      <c r="C110" s="82" t="s">
        <v>612</v>
      </c>
      <c r="D110" s="82" t="s">
        <v>767</v>
      </c>
      <c r="E110" s="83" t="s">
        <v>529</v>
      </c>
      <c r="F110" s="83"/>
      <c r="G110" s="83" t="s">
        <v>530</v>
      </c>
      <c r="H110" s="84">
        <v>0.0416666666666667</v>
      </c>
      <c r="I110" s="93">
        <v>0.166666666666667</v>
      </c>
      <c r="J110" s="94">
        <v>0.125</v>
      </c>
      <c r="K110" s="94"/>
      <c r="L110" s="95"/>
      <c r="M110" s="96"/>
      <c r="N110" s="83"/>
      <c r="O110" s="97" t="s">
        <v>108</v>
      </c>
      <c r="P110" s="83" t="s">
        <v>109</v>
      </c>
      <c r="Q110" s="81" t="s">
        <v>525</v>
      </c>
    </row>
    <row r="111" spans="1:17">
      <c r="A111" s="81" t="s">
        <v>677</v>
      </c>
      <c r="B111" s="101" t="s">
        <v>135</v>
      </c>
      <c r="C111" s="82" t="s">
        <v>612</v>
      </c>
      <c r="D111" s="82" t="s">
        <v>767</v>
      </c>
      <c r="E111" s="83" t="s">
        <v>529</v>
      </c>
      <c r="F111" s="83" t="s">
        <v>535</v>
      </c>
      <c r="G111" s="83" t="s">
        <v>530</v>
      </c>
      <c r="H111" s="84">
        <v>0.417211328976035</v>
      </c>
      <c r="I111" s="93">
        <v>0.479711328976035</v>
      </c>
      <c r="J111" s="94">
        <v>0.0625</v>
      </c>
      <c r="K111" s="94"/>
      <c r="L111" s="95">
        <v>0.250544662309368</v>
      </c>
      <c r="M111" s="96">
        <v>368</v>
      </c>
      <c r="N111" s="96">
        <v>368</v>
      </c>
      <c r="O111" s="97" t="s">
        <v>768</v>
      </c>
      <c r="P111" s="83" t="s">
        <v>109</v>
      </c>
      <c r="Q111" s="81" t="s">
        <v>525</v>
      </c>
    </row>
    <row r="112" spans="1:17">
      <c r="A112" s="81" t="s">
        <v>677</v>
      </c>
      <c r="B112" s="101" t="s">
        <v>107</v>
      </c>
      <c r="C112" s="82" t="s">
        <v>612</v>
      </c>
      <c r="D112" s="82" t="s">
        <v>767</v>
      </c>
      <c r="E112" s="83" t="s">
        <v>529</v>
      </c>
      <c r="F112" s="83" t="s">
        <v>535</v>
      </c>
      <c r="G112" s="83"/>
      <c r="H112" s="84">
        <v>0.729439884893516</v>
      </c>
      <c r="I112" s="93">
        <v>0.771106551560182</v>
      </c>
      <c r="J112" s="94">
        <v>0.0416666666666667</v>
      </c>
      <c r="K112" s="94"/>
      <c r="L112" s="95">
        <v>0.249728555917481</v>
      </c>
      <c r="M112" s="96">
        <v>368</v>
      </c>
      <c r="N112" s="96">
        <v>736</v>
      </c>
      <c r="O112" s="97" t="s">
        <v>108</v>
      </c>
      <c r="P112" s="83" t="s">
        <v>109</v>
      </c>
      <c r="Q112" s="81" t="s">
        <v>525</v>
      </c>
    </row>
    <row r="113" spans="1:17">
      <c r="A113" s="81" t="s">
        <v>677</v>
      </c>
      <c r="B113" s="101" t="s">
        <v>769</v>
      </c>
      <c r="C113" s="82" t="s">
        <v>770</v>
      </c>
      <c r="D113" s="82">
        <v>525</v>
      </c>
      <c r="E113" s="83" t="s">
        <v>561</v>
      </c>
      <c r="F113" s="83" t="s">
        <v>535</v>
      </c>
      <c r="G113" s="83" t="s">
        <v>530</v>
      </c>
      <c r="H113" s="84">
        <v>0.250428840194776</v>
      </c>
      <c r="I113" s="93">
        <v>0.27126217352811</v>
      </c>
      <c r="J113" s="94">
        <v>0.0208333333333333</v>
      </c>
      <c r="K113" s="94"/>
      <c r="L113" s="95">
        <v>0.0664010624169987</v>
      </c>
      <c r="M113" s="96">
        <v>80</v>
      </c>
      <c r="N113" s="83">
        <v>80</v>
      </c>
      <c r="O113" s="97" t="s">
        <v>771</v>
      </c>
      <c r="P113" s="83" t="s">
        <v>109</v>
      </c>
      <c r="Q113" s="81" t="e">
        <v>#N/A</v>
      </c>
    </row>
    <row r="114" spans="1:17">
      <c r="A114" s="81" t="s">
        <v>677</v>
      </c>
      <c r="B114" s="101" t="s">
        <v>772</v>
      </c>
      <c r="C114" s="82" t="s">
        <v>770</v>
      </c>
      <c r="D114" s="82">
        <v>525</v>
      </c>
      <c r="E114" s="83" t="s">
        <v>561</v>
      </c>
      <c r="F114" s="83" t="s">
        <v>535</v>
      </c>
      <c r="G114" s="83" t="s">
        <v>530</v>
      </c>
      <c r="H114" s="84">
        <v>0.292095506861443</v>
      </c>
      <c r="I114" s="93">
        <v>0.33376217352811</v>
      </c>
      <c r="J114" s="94">
        <v>0.0416666666666667</v>
      </c>
      <c r="K114" s="94"/>
      <c r="L114" s="95">
        <v>0.0208333333333333</v>
      </c>
      <c r="M114" s="96">
        <v>21</v>
      </c>
      <c r="N114" s="83">
        <v>101</v>
      </c>
      <c r="O114" s="97" t="s">
        <v>773</v>
      </c>
      <c r="P114" s="83" t="s">
        <v>109</v>
      </c>
      <c r="Q114" s="81" t="e">
        <v>#N/A</v>
      </c>
    </row>
    <row r="115" spans="1:17">
      <c r="A115" s="81" t="s">
        <v>677</v>
      </c>
      <c r="B115" s="101" t="s">
        <v>752</v>
      </c>
      <c r="C115" s="82" t="s">
        <v>527</v>
      </c>
      <c r="D115" s="82" t="s">
        <v>774</v>
      </c>
      <c r="E115" s="83" t="s">
        <v>606</v>
      </c>
      <c r="F115" s="83" t="s">
        <v>535</v>
      </c>
      <c r="G115" s="83"/>
      <c r="H115" s="84">
        <v>0.100824247144341</v>
      </c>
      <c r="I115" s="93">
        <v>0.104296469366563</v>
      </c>
      <c r="J115" s="94">
        <v>0.00347222222222222</v>
      </c>
      <c r="K115" s="94"/>
      <c r="L115" s="95">
        <v>0.0973520249221184</v>
      </c>
      <c r="M115" s="96">
        <v>200</v>
      </c>
      <c r="N115" s="83">
        <v>200</v>
      </c>
      <c r="O115" s="97" t="s">
        <v>775</v>
      </c>
      <c r="P115" s="83" t="s">
        <v>109</v>
      </c>
      <c r="Q115" s="81" t="s">
        <v>531</v>
      </c>
    </row>
    <row r="116" spans="1:17">
      <c r="A116" s="81" t="s">
        <v>677</v>
      </c>
      <c r="B116" s="101" t="s">
        <v>742</v>
      </c>
      <c r="C116" s="82" t="s">
        <v>527</v>
      </c>
      <c r="D116" s="82" t="s">
        <v>774</v>
      </c>
      <c r="E116" s="83" t="s">
        <v>606</v>
      </c>
      <c r="F116" s="83" t="s">
        <v>535</v>
      </c>
      <c r="G116" s="83"/>
      <c r="H116" s="84">
        <v>0.146209684356701</v>
      </c>
      <c r="I116" s="93">
        <v>0.149681906578923</v>
      </c>
      <c r="J116" s="94">
        <v>0.00347222222222222</v>
      </c>
      <c r="K116" s="94"/>
      <c r="L116" s="95">
        <v>0.0419132149901381</v>
      </c>
      <c r="M116" s="96">
        <v>85</v>
      </c>
      <c r="N116" s="83">
        <v>285</v>
      </c>
      <c r="O116" s="97" t="s">
        <v>743</v>
      </c>
      <c r="P116" s="83" t="s">
        <v>109</v>
      </c>
      <c r="Q116" s="81" t="s">
        <v>531</v>
      </c>
    </row>
    <row r="117" spans="1:17">
      <c r="A117" s="81" t="s">
        <v>677</v>
      </c>
      <c r="B117" s="101" t="s">
        <v>776</v>
      </c>
      <c r="C117" s="82" t="s">
        <v>527</v>
      </c>
      <c r="D117" s="82" t="s">
        <v>774</v>
      </c>
      <c r="E117" s="83" t="s">
        <v>606</v>
      </c>
      <c r="F117" s="83" t="s">
        <v>535</v>
      </c>
      <c r="G117" s="83"/>
      <c r="H117" s="84">
        <v>0.22222099766845</v>
      </c>
      <c r="I117" s="93">
        <v>0.225693219890672</v>
      </c>
      <c r="J117" s="94">
        <v>0.00347222222222222</v>
      </c>
      <c r="K117" s="94"/>
      <c r="L117" s="95">
        <v>0.117924528301887</v>
      </c>
      <c r="M117" s="96">
        <v>150</v>
      </c>
      <c r="N117" s="83">
        <v>435</v>
      </c>
      <c r="O117" s="97" t="s">
        <v>777</v>
      </c>
      <c r="P117" s="83" t="s">
        <v>109</v>
      </c>
      <c r="Q117" s="81" t="s">
        <v>531</v>
      </c>
    </row>
    <row r="118" spans="1:17">
      <c r="A118" s="81" t="s">
        <v>677</v>
      </c>
      <c r="B118" s="101" t="s">
        <v>778</v>
      </c>
      <c r="C118" s="82" t="s">
        <v>527</v>
      </c>
      <c r="D118" s="82" t="s">
        <v>774</v>
      </c>
      <c r="E118" s="83" t="s">
        <v>606</v>
      </c>
      <c r="F118" s="83" t="s">
        <v>535</v>
      </c>
      <c r="G118" s="83"/>
      <c r="H118" s="84">
        <v>0.267630624527641</v>
      </c>
      <c r="I118" s="93">
        <v>0.271102846749863</v>
      </c>
      <c r="J118" s="94">
        <v>0.00347222222222222</v>
      </c>
      <c r="K118" s="94"/>
      <c r="L118" s="95">
        <v>0.117948717948718</v>
      </c>
      <c r="M118" s="96">
        <v>92</v>
      </c>
      <c r="N118" s="83">
        <v>527</v>
      </c>
      <c r="O118" s="97" t="s">
        <v>779</v>
      </c>
      <c r="P118" s="83" t="s">
        <v>109</v>
      </c>
      <c r="Q118" s="81" t="s">
        <v>531</v>
      </c>
    </row>
    <row r="119" spans="1:17">
      <c r="A119" s="81" t="s">
        <v>677</v>
      </c>
      <c r="B119" s="101" t="s">
        <v>780</v>
      </c>
      <c r="C119" s="82" t="s">
        <v>527</v>
      </c>
      <c r="D119" s="82" t="s">
        <v>774</v>
      </c>
      <c r="E119" s="83" t="s">
        <v>606</v>
      </c>
      <c r="F119" s="83" t="s">
        <v>535</v>
      </c>
      <c r="G119" s="83"/>
      <c r="H119" s="84">
        <v>0.309415961323694</v>
      </c>
      <c r="I119" s="93">
        <v>0.312888183545916</v>
      </c>
      <c r="J119" s="94">
        <v>0.00347222222222222</v>
      </c>
      <c r="K119" s="94"/>
      <c r="L119" s="95">
        <v>0.0837227414330218</v>
      </c>
      <c r="M119" s="96">
        <v>86</v>
      </c>
      <c r="N119" s="83">
        <v>613</v>
      </c>
      <c r="O119" s="97" t="s">
        <v>781</v>
      </c>
      <c r="P119" s="83" t="s">
        <v>109</v>
      </c>
      <c r="Q119" s="81" t="s">
        <v>531</v>
      </c>
    </row>
    <row r="120" spans="1:17">
      <c r="A120" s="81" t="s">
        <v>677</v>
      </c>
      <c r="B120" s="101" t="s">
        <v>782</v>
      </c>
      <c r="C120" s="82" t="s">
        <v>527</v>
      </c>
      <c r="D120" s="82" t="s">
        <v>774</v>
      </c>
      <c r="E120" s="83" t="s">
        <v>606</v>
      </c>
      <c r="F120" s="83" t="s">
        <v>535</v>
      </c>
      <c r="G120" s="83"/>
      <c r="H120" s="84">
        <v>0.354436180083197</v>
      </c>
      <c r="I120" s="93">
        <v>0.357908402305419</v>
      </c>
      <c r="J120" s="94">
        <v>0.00347222222222222</v>
      </c>
      <c r="K120" s="94"/>
      <c r="L120" s="95">
        <v>0.0833333333333333</v>
      </c>
      <c r="M120" s="96">
        <v>75</v>
      </c>
      <c r="N120" s="83">
        <v>688</v>
      </c>
      <c r="O120" s="97" t="s">
        <v>783</v>
      </c>
      <c r="P120" s="83" t="s">
        <v>109</v>
      </c>
      <c r="Q120" s="81" t="s">
        <v>531</v>
      </c>
    </row>
    <row r="121" spans="1:17">
      <c r="A121" s="81" t="s">
        <v>677</v>
      </c>
      <c r="B121" s="101" t="s">
        <v>784</v>
      </c>
      <c r="C121" s="82" t="s">
        <v>527</v>
      </c>
      <c r="D121" s="82" t="s">
        <v>774</v>
      </c>
      <c r="E121" s="83" t="s">
        <v>606</v>
      </c>
      <c r="F121" s="83" t="s">
        <v>535</v>
      </c>
      <c r="G121" s="83"/>
      <c r="H121" s="84">
        <v>0.385732006389739</v>
      </c>
      <c r="I121" s="93">
        <v>0.389204228611961</v>
      </c>
      <c r="J121" s="94">
        <v>0.00347222222222222</v>
      </c>
      <c r="K121" s="94"/>
      <c r="L121" s="95">
        <v>0.0728438228438228</v>
      </c>
      <c r="M121" s="96">
        <v>50</v>
      </c>
      <c r="N121" s="83">
        <v>738</v>
      </c>
      <c r="O121" s="97" t="s">
        <v>785</v>
      </c>
      <c r="P121" s="83" t="s">
        <v>109</v>
      </c>
      <c r="Q121" s="81" t="s">
        <v>531</v>
      </c>
    </row>
    <row r="122" spans="1:17">
      <c r="A122" s="81" t="s">
        <v>677</v>
      </c>
      <c r="B122" s="101" t="s">
        <v>752</v>
      </c>
      <c r="C122" s="82" t="s">
        <v>527</v>
      </c>
      <c r="D122" s="82" t="s">
        <v>786</v>
      </c>
      <c r="E122" s="83" t="s">
        <v>574</v>
      </c>
      <c r="F122" s="83" t="s">
        <v>535</v>
      </c>
      <c r="G122" s="83"/>
      <c r="H122" s="84">
        <v>0.101363788487282</v>
      </c>
      <c r="I122" s="93">
        <v>0.104836010709504</v>
      </c>
      <c r="J122" s="94">
        <v>0.00347222222222222</v>
      </c>
      <c r="K122" s="94"/>
      <c r="L122" s="95">
        <v>0.0978915662650602</v>
      </c>
      <c r="M122" s="96">
        <v>195</v>
      </c>
      <c r="N122" s="83">
        <v>195</v>
      </c>
      <c r="O122" s="97" t="s">
        <v>775</v>
      </c>
      <c r="P122" s="83" t="s">
        <v>109</v>
      </c>
      <c r="Q122" s="81" t="s">
        <v>531</v>
      </c>
    </row>
    <row r="123" spans="1:17">
      <c r="A123" s="81" t="s">
        <v>677</v>
      </c>
      <c r="B123" s="101" t="s">
        <v>742</v>
      </c>
      <c r="C123" s="82" t="s">
        <v>527</v>
      </c>
      <c r="D123" s="82" t="s">
        <v>786</v>
      </c>
      <c r="E123" s="83" t="s">
        <v>574</v>
      </c>
      <c r="F123" s="83" t="s">
        <v>535</v>
      </c>
      <c r="G123" s="83"/>
      <c r="H123" s="84">
        <v>0.146502677376171</v>
      </c>
      <c r="I123" s="93">
        <v>0.149974899598393</v>
      </c>
      <c r="J123" s="94">
        <v>0.00347222222222222</v>
      </c>
      <c r="K123" s="94"/>
      <c r="L123" s="95">
        <v>0.0416666666666667</v>
      </c>
      <c r="M123" s="96">
        <v>85</v>
      </c>
      <c r="N123" s="83">
        <v>280</v>
      </c>
      <c r="O123" s="97" t="s">
        <v>743</v>
      </c>
      <c r="P123" s="83" t="s">
        <v>109</v>
      </c>
      <c r="Q123" s="81" t="s">
        <v>531</v>
      </c>
    </row>
    <row r="124" spans="1:17">
      <c r="A124" s="81" t="s">
        <v>677</v>
      </c>
      <c r="B124" s="101" t="s">
        <v>776</v>
      </c>
      <c r="C124" s="82" t="s">
        <v>527</v>
      </c>
      <c r="D124" s="82" t="s">
        <v>786</v>
      </c>
      <c r="E124" s="83" t="s">
        <v>574</v>
      </c>
      <c r="F124" s="83" t="s">
        <v>535</v>
      </c>
      <c r="G124" s="83"/>
      <c r="H124" s="84">
        <v>0.222760539011391</v>
      </c>
      <c r="I124" s="93">
        <v>0.226232761233613</v>
      </c>
      <c r="J124" s="94">
        <v>0.00347222222222222</v>
      </c>
      <c r="K124" s="94"/>
      <c r="L124" s="95">
        <v>0.117924528301887</v>
      </c>
      <c r="M124" s="96">
        <v>150</v>
      </c>
      <c r="N124" s="83">
        <v>430</v>
      </c>
      <c r="O124" s="97" t="s">
        <v>777</v>
      </c>
      <c r="P124" s="83" t="s">
        <v>109</v>
      </c>
      <c r="Q124" s="81" t="s">
        <v>531</v>
      </c>
    </row>
    <row r="125" spans="1:17">
      <c r="A125" s="81" t="s">
        <v>677</v>
      </c>
      <c r="B125" s="101" t="s">
        <v>778</v>
      </c>
      <c r="C125" s="82" t="s">
        <v>527</v>
      </c>
      <c r="D125" s="82" t="s">
        <v>786</v>
      </c>
      <c r="E125" s="83" t="s">
        <v>574</v>
      </c>
      <c r="F125" s="83" t="s">
        <v>535</v>
      </c>
      <c r="G125" s="83"/>
      <c r="H125" s="84">
        <v>0.267923617547111</v>
      </c>
      <c r="I125" s="93">
        <v>0.271395839769334</v>
      </c>
      <c r="J125" s="94">
        <v>0.00347222222222222</v>
      </c>
      <c r="K125" s="94"/>
      <c r="L125" s="95">
        <v>0.117948717948718</v>
      </c>
      <c r="M125" s="96">
        <v>92</v>
      </c>
      <c r="N125" s="83">
        <v>522</v>
      </c>
      <c r="O125" s="97" t="s">
        <v>779</v>
      </c>
      <c r="P125" s="83" t="s">
        <v>109</v>
      </c>
      <c r="Q125" s="81" t="s">
        <v>531</v>
      </c>
    </row>
    <row r="126" spans="1:17">
      <c r="A126" s="81" t="s">
        <v>677</v>
      </c>
      <c r="B126" s="101" t="s">
        <v>780</v>
      </c>
      <c r="C126" s="82" t="s">
        <v>527</v>
      </c>
      <c r="D126" s="82" t="s">
        <v>786</v>
      </c>
      <c r="E126" s="83" t="s">
        <v>574</v>
      </c>
      <c r="F126" s="83" t="s">
        <v>535</v>
      </c>
      <c r="G126" s="83"/>
      <c r="H126" s="84">
        <v>0.309566094566947</v>
      </c>
      <c r="I126" s="93">
        <v>0.313038316789169</v>
      </c>
      <c r="J126" s="94">
        <v>0.00347222222222222</v>
      </c>
      <c r="K126" s="94"/>
      <c r="L126" s="95">
        <v>0.0833333333333333</v>
      </c>
      <c r="M126" s="96">
        <v>86</v>
      </c>
      <c r="N126" s="83">
        <v>608</v>
      </c>
      <c r="O126" s="97" t="s">
        <v>781</v>
      </c>
      <c r="P126" s="83" t="s">
        <v>109</v>
      </c>
      <c r="Q126" s="81" t="s">
        <v>531</v>
      </c>
    </row>
    <row r="127" spans="1:17">
      <c r="A127" s="81" t="s">
        <v>677</v>
      </c>
      <c r="B127" s="101" t="s">
        <v>787</v>
      </c>
      <c r="C127" s="82" t="s">
        <v>527</v>
      </c>
      <c r="D127" s="82" t="s">
        <v>786</v>
      </c>
      <c r="E127" s="83" t="s">
        <v>574</v>
      </c>
      <c r="F127" s="83" t="s">
        <v>535</v>
      </c>
      <c r="G127" s="83"/>
      <c r="H127" s="84">
        <v>0.354729173102667</v>
      </c>
      <c r="I127" s="93">
        <v>0.358201395324889</v>
      </c>
      <c r="J127" s="94">
        <v>0.00347222222222222</v>
      </c>
      <c r="K127" s="94"/>
      <c r="L127" s="95">
        <v>0.0833333333333333</v>
      </c>
      <c r="M127" s="96">
        <v>75</v>
      </c>
      <c r="N127" s="83">
        <v>683</v>
      </c>
      <c r="O127" s="97" t="s">
        <v>783</v>
      </c>
      <c r="P127" s="83" t="s">
        <v>109</v>
      </c>
      <c r="Q127" s="81" t="s">
        <v>531</v>
      </c>
    </row>
    <row r="128" spans="1:17">
      <c r="A128" s="81" t="s">
        <v>677</v>
      </c>
      <c r="B128" s="101" t="s">
        <v>784</v>
      </c>
      <c r="C128" s="82" t="s">
        <v>527</v>
      </c>
      <c r="D128" s="82" t="s">
        <v>786</v>
      </c>
      <c r="E128" s="83" t="s">
        <v>574</v>
      </c>
      <c r="F128" s="83" t="s">
        <v>535</v>
      </c>
      <c r="G128" s="83"/>
      <c r="H128" s="84">
        <v>0.385882139632992</v>
      </c>
      <c r="I128" s="93">
        <v>0.389354361855214</v>
      </c>
      <c r="J128" s="94">
        <v>0.00347222222222222</v>
      </c>
      <c r="K128" s="94"/>
      <c r="L128" s="95">
        <v>0.0728438228438228</v>
      </c>
      <c r="M128" s="96">
        <v>50</v>
      </c>
      <c r="N128" s="83">
        <v>733</v>
      </c>
      <c r="O128" s="97" t="s">
        <v>785</v>
      </c>
      <c r="P128" s="83" t="s">
        <v>109</v>
      </c>
      <c r="Q128" s="81" t="s">
        <v>531</v>
      </c>
    </row>
    <row r="129" spans="1:17">
      <c r="A129" s="81" t="s">
        <v>677</v>
      </c>
      <c r="B129" s="101" t="s">
        <v>784</v>
      </c>
      <c r="C129" s="82" t="s">
        <v>527</v>
      </c>
      <c r="D129" s="82" t="s">
        <v>788</v>
      </c>
      <c r="E129" s="83" t="s">
        <v>529</v>
      </c>
      <c r="F129" s="83"/>
      <c r="G129" s="83" t="s">
        <v>530</v>
      </c>
      <c r="H129" s="84">
        <v>0.708333333333333</v>
      </c>
      <c r="I129" s="93">
        <v>0.711805555555556</v>
      </c>
      <c r="J129" s="94">
        <v>0.00347222222222222</v>
      </c>
      <c r="K129" s="94"/>
      <c r="L129" s="95"/>
      <c r="M129" s="96"/>
      <c r="N129" s="83"/>
      <c r="O129" s="97" t="s">
        <v>785</v>
      </c>
      <c r="P129" s="83" t="s">
        <v>109</v>
      </c>
      <c r="Q129" s="81" t="s">
        <v>531</v>
      </c>
    </row>
    <row r="130" spans="1:17">
      <c r="A130" s="81" t="s">
        <v>677</v>
      </c>
      <c r="B130" s="101" t="s">
        <v>787</v>
      </c>
      <c r="C130" s="82" t="s">
        <v>527</v>
      </c>
      <c r="D130" s="82" t="s">
        <v>788</v>
      </c>
      <c r="E130" s="83" t="s">
        <v>529</v>
      </c>
      <c r="F130" s="83"/>
      <c r="G130" s="83" t="s">
        <v>530</v>
      </c>
      <c r="H130" s="84">
        <v>0.736607142857143</v>
      </c>
      <c r="I130" s="93">
        <v>0.740079365079365</v>
      </c>
      <c r="J130" s="94">
        <v>0.00347222222222222</v>
      </c>
      <c r="K130" s="94"/>
      <c r="L130" s="95">
        <v>0.0248015873015873</v>
      </c>
      <c r="M130" s="96">
        <v>50</v>
      </c>
      <c r="N130" s="83">
        <v>50</v>
      </c>
      <c r="O130" s="97" t="s">
        <v>783</v>
      </c>
      <c r="P130" s="83" t="s">
        <v>109</v>
      </c>
      <c r="Q130" s="81" t="s">
        <v>531</v>
      </c>
    </row>
    <row r="131" spans="1:17">
      <c r="A131" s="81" t="s">
        <v>677</v>
      </c>
      <c r="B131" s="101" t="s">
        <v>780</v>
      </c>
      <c r="C131" s="82" t="s">
        <v>527</v>
      </c>
      <c r="D131" s="82" t="s">
        <v>788</v>
      </c>
      <c r="E131" s="83" t="s">
        <v>529</v>
      </c>
      <c r="F131" s="83"/>
      <c r="G131" s="83" t="s">
        <v>530</v>
      </c>
      <c r="H131" s="84">
        <v>0.778422923361574</v>
      </c>
      <c r="I131" s="93">
        <v>0.781895145583796</v>
      </c>
      <c r="J131" s="94">
        <v>0.00347222222222222</v>
      </c>
      <c r="K131" s="94"/>
      <c r="L131" s="95">
        <v>0.0383435582822086</v>
      </c>
      <c r="M131" s="96">
        <v>75</v>
      </c>
      <c r="N131" s="83">
        <v>125</v>
      </c>
      <c r="O131" s="97" t="s">
        <v>789</v>
      </c>
      <c r="P131" s="83" t="s">
        <v>109</v>
      </c>
      <c r="Q131" s="81" t="s">
        <v>531</v>
      </c>
    </row>
    <row r="132" spans="1:17">
      <c r="A132" s="81" t="s">
        <v>677</v>
      </c>
      <c r="B132" s="101" t="s">
        <v>780</v>
      </c>
      <c r="C132" s="82" t="s">
        <v>527</v>
      </c>
      <c r="D132" s="82" t="s">
        <v>788</v>
      </c>
      <c r="E132" s="83" t="s">
        <v>529</v>
      </c>
      <c r="F132" s="83"/>
      <c r="G132" s="83" t="s">
        <v>530</v>
      </c>
      <c r="H132" s="84">
        <v>0.781895145583796</v>
      </c>
      <c r="I132" s="93">
        <v>0.785367367806018</v>
      </c>
      <c r="J132" s="94">
        <v>0.00347222222222222</v>
      </c>
      <c r="K132" s="94"/>
      <c r="L132" s="95">
        <v>0</v>
      </c>
      <c r="M132" s="96">
        <v>0</v>
      </c>
      <c r="N132" s="83">
        <v>125</v>
      </c>
      <c r="O132" s="97" t="s">
        <v>790</v>
      </c>
      <c r="P132" s="83" t="s">
        <v>109</v>
      </c>
      <c r="Q132" s="81" t="s">
        <v>531</v>
      </c>
    </row>
    <row r="133" spans="1:17">
      <c r="A133" s="81" t="s">
        <v>677</v>
      </c>
      <c r="B133" s="101" t="s">
        <v>778</v>
      </c>
      <c r="C133" s="82" t="s">
        <v>527</v>
      </c>
      <c r="D133" s="82" t="s">
        <v>788</v>
      </c>
      <c r="E133" s="83" t="s">
        <v>529</v>
      </c>
      <c r="F133" s="83"/>
      <c r="G133" s="83" t="s">
        <v>530</v>
      </c>
      <c r="H133" s="84">
        <v>0.833790791229442</v>
      </c>
      <c r="I133" s="93">
        <v>0.837263013451664</v>
      </c>
      <c r="J133" s="94">
        <v>0.00347222222222222</v>
      </c>
      <c r="K133" s="94"/>
      <c r="L133" s="95">
        <v>0.0484234234234234</v>
      </c>
      <c r="M133" s="96">
        <v>86</v>
      </c>
      <c r="N133" s="83">
        <v>211</v>
      </c>
      <c r="O133" s="97" t="s">
        <v>779</v>
      </c>
      <c r="P133" s="83" t="s">
        <v>109</v>
      </c>
      <c r="Q133" s="81" t="s">
        <v>531</v>
      </c>
    </row>
    <row r="134" spans="1:17">
      <c r="A134" s="81" t="s">
        <v>677</v>
      </c>
      <c r="B134" s="101" t="s">
        <v>776</v>
      </c>
      <c r="C134" s="82" t="s">
        <v>527</v>
      </c>
      <c r="D134" s="82" t="s">
        <v>788</v>
      </c>
      <c r="E134" s="83" t="s">
        <v>529</v>
      </c>
      <c r="F134" s="83"/>
      <c r="G134" s="83" t="s">
        <v>530</v>
      </c>
      <c r="H134" s="84">
        <v>0.875596346784997</v>
      </c>
      <c r="I134" s="93">
        <v>0.879068569007219</v>
      </c>
      <c r="J134" s="94">
        <v>0.00347222222222222</v>
      </c>
      <c r="K134" s="94"/>
      <c r="L134" s="95">
        <v>0.0383333333333333</v>
      </c>
      <c r="M134" s="96">
        <v>92</v>
      </c>
      <c r="N134" s="83">
        <v>303</v>
      </c>
      <c r="O134" s="97" t="s">
        <v>777</v>
      </c>
      <c r="P134" s="83" t="s">
        <v>109</v>
      </c>
      <c r="Q134" s="81" t="s">
        <v>531</v>
      </c>
    </row>
    <row r="135" spans="1:17">
      <c r="A135" s="81" t="s">
        <v>677</v>
      </c>
      <c r="B135" s="101" t="s">
        <v>742</v>
      </c>
      <c r="C135" s="82" t="s">
        <v>527</v>
      </c>
      <c r="D135" s="82" t="s">
        <v>788</v>
      </c>
      <c r="E135" s="83" t="s">
        <v>529</v>
      </c>
      <c r="F135" s="83"/>
      <c r="G135" s="83" t="s">
        <v>530</v>
      </c>
      <c r="H135" s="84">
        <v>0.950907649466989</v>
      </c>
      <c r="I135" s="93">
        <v>0.954379871689212</v>
      </c>
      <c r="J135" s="94">
        <v>0.00347222222222222</v>
      </c>
      <c r="K135" s="94"/>
      <c r="L135" s="95">
        <v>0.0718390804597701</v>
      </c>
      <c r="M135" s="96">
        <v>150</v>
      </c>
      <c r="N135" s="83">
        <v>453</v>
      </c>
      <c r="O135" s="97" t="s">
        <v>743</v>
      </c>
      <c r="P135" s="83" t="s">
        <v>109</v>
      </c>
      <c r="Q135" s="81" t="s">
        <v>531</v>
      </c>
    </row>
    <row r="136" spans="1:17">
      <c r="A136" s="81" t="s">
        <v>677</v>
      </c>
      <c r="B136" s="101" t="s">
        <v>752</v>
      </c>
      <c r="C136" s="82" t="s">
        <v>527</v>
      </c>
      <c r="D136" s="82" t="s">
        <v>788</v>
      </c>
      <c r="E136" s="83" t="s">
        <v>529</v>
      </c>
      <c r="F136" s="83"/>
      <c r="G136" s="83" t="s">
        <v>530</v>
      </c>
      <c r="H136" s="84">
        <v>0.993213936016697</v>
      </c>
      <c r="I136" s="93">
        <v>0.996686158238919</v>
      </c>
      <c r="J136" s="94">
        <v>0.00347222222222222</v>
      </c>
      <c r="K136" s="94"/>
      <c r="L136" s="95">
        <v>0.0388340643274854</v>
      </c>
      <c r="M136" s="96">
        <v>85</v>
      </c>
      <c r="N136" s="83">
        <v>538</v>
      </c>
      <c r="O136" s="97" t="s">
        <v>775</v>
      </c>
      <c r="P136" s="83" t="s">
        <v>109</v>
      </c>
      <c r="Q136" s="81" t="s">
        <v>531</v>
      </c>
    </row>
    <row r="137" spans="1:17">
      <c r="A137" s="81" t="s">
        <v>677</v>
      </c>
      <c r="B137" s="101" t="s">
        <v>791</v>
      </c>
      <c r="C137" s="82" t="s">
        <v>527</v>
      </c>
      <c r="D137" s="82" t="s">
        <v>788</v>
      </c>
      <c r="E137" s="83" t="s">
        <v>529</v>
      </c>
      <c r="F137" s="83" t="s">
        <v>535</v>
      </c>
      <c r="G137" s="83"/>
      <c r="H137" s="84">
        <v>0.0897960278851018</v>
      </c>
      <c r="I137" s="93">
        <v>0.093268250107324</v>
      </c>
      <c r="J137" s="94">
        <v>0.00347222222222222</v>
      </c>
      <c r="K137" s="94"/>
      <c r="L137" s="95">
        <v>0.0931098696461825</v>
      </c>
      <c r="M137" s="96">
        <v>200</v>
      </c>
      <c r="N137" s="83">
        <v>738</v>
      </c>
      <c r="O137" s="97" t="s">
        <v>792</v>
      </c>
      <c r="P137" s="83" t="s">
        <v>190</v>
      </c>
      <c r="Q137" s="81" t="s">
        <v>531</v>
      </c>
    </row>
    <row r="138" spans="1:17">
      <c r="A138" s="81" t="s">
        <v>677</v>
      </c>
      <c r="B138" s="101" t="s">
        <v>793</v>
      </c>
      <c r="C138" s="82" t="s">
        <v>527</v>
      </c>
      <c r="D138" s="82" t="s">
        <v>794</v>
      </c>
      <c r="E138" s="83" t="s">
        <v>529</v>
      </c>
      <c r="F138" s="83"/>
      <c r="G138" s="83"/>
      <c r="H138" s="84"/>
      <c r="I138" s="93">
        <v>0.305555555555556</v>
      </c>
      <c r="J138" s="94">
        <v>0.00347222222222222</v>
      </c>
      <c r="K138" s="94"/>
      <c r="L138" s="95"/>
      <c r="M138" s="96"/>
      <c r="N138" s="83"/>
      <c r="O138" s="97" t="s">
        <v>795</v>
      </c>
      <c r="P138" s="83" t="s">
        <v>795</v>
      </c>
      <c r="Q138" s="81" t="s">
        <v>531</v>
      </c>
    </row>
    <row r="139" spans="1:17">
      <c r="A139" s="81" t="s">
        <v>677</v>
      </c>
      <c r="B139" s="101"/>
      <c r="C139" s="82" t="s">
        <v>527</v>
      </c>
      <c r="D139" s="82" t="s">
        <v>794</v>
      </c>
      <c r="E139" s="83" t="s">
        <v>529</v>
      </c>
      <c r="F139" s="83" t="s">
        <v>535</v>
      </c>
      <c r="G139" s="83"/>
      <c r="H139" s="84">
        <v>0.347222222222222</v>
      </c>
      <c r="I139" s="93">
        <v>0.350694444444444</v>
      </c>
      <c r="J139" s="94">
        <v>0.00347222222222222</v>
      </c>
      <c r="K139" s="94"/>
      <c r="L139" s="95">
        <v>0.0416666666666667</v>
      </c>
      <c r="M139" s="96">
        <v>80</v>
      </c>
      <c r="N139" s="83">
        <v>80</v>
      </c>
      <c r="O139" s="97" t="s">
        <v>796</v>
      </c>
      <c r="P139" s="83" t="s">
        <v>176</v>
      </c>
      <c r="Q139" s="81" t="s">
        <v>531</v>
      </c>
    </row>
    <row r="140" spans="1:17">
      <c r="A140" s="81" t="s">
        <v>677</v>
      </c>
      <c r="B140" s="101"/>
      <c r="C140" s="82" t="s">
        <v>527</v>
      </c>
      <c r="D140" s="82" t="s">
        <v>794</v>
      </c>
      <c r="E140" s="83" t="s">
        <v>529</v>
      </c>
      <c r="F140" s="83" t="s">
        <v>535</v>
      </c>
      <c r="G140" s="83"/>
      <c r="H140" s="84">
        <v>0.392361111111111</v>
      </c>
      <c r="I140" s="93">
        <v>0.399305555555556</v>
      </c>
      <c r="J140" s="94">
        <v>0.00694444444444444</v>
      </c>
      <c r="K140" s="94"/>
      <c r="L140" s="95">
        <v>0.0416666666666667</v>
      </c>
      <c r="M140" s="96">
        <v>80</v>
      </c>
      <c r="N140" s="83">
        <v>160</v>
      </c>
      <c r="O140" s="97" t="s">
        <v>797</v>
      </c>
      <c r="P140" s="83" t="s">
        <v>795</v>
      </c>
      <c r="Q140" s="81" t="s">
        <v>531</v>
      </c>
    </row>
    <row r="141" spans="1:17">
      <c r="A141" s="81" t="s">
        <v>677</v>
      </c>
      <c r="B141" s="101" t="s">
        <v>793</v>
      </c>
      <c r="C141" s="82" t="s">
        <v>527</v>
      </c>
      <c r="D141" s="82" t="s">
        <v>794</v>
      </c>
      <c r="E141" s="83" t="s">
        <v>529</v>
      </c>
      <c r="F141" s="83" t="s">
        <v>535</v>
      </c>
      <c r="G141" s="83"/>
      <c r="H141" s="84">
        <v>0.402777777777778</v>
      </c>
      <c r="I141" s="93">
        <v>0.40625</v>
      </c>
      <c r="J141" s="94">
        <v>0.00347222222222222</v>
      </c>
      <c r="K141" s="94"/>
      <c r="L141" s="95"/>
      <c r="M141" s="96"/>
      <c r="N141" s="83">
        <v>160</v>
      </c>
      <c r="O141" s="97" t="s">
        <v>795</v>
      </c>
      <c r="P141" s="83" t="s">
        <v>795</v>
      </c>
      <c r="Q141" s="81" t="s">
        <v>531</v>
      </c>
    </row>
    <row r="142" spans="1:17">
      <c r="A142" s="81" t="s">
        <v>677</v>
      </c>
      <c r="B142" s="101" t="s">
        <v>793</v>
      </c>
      <c r="C142" s="82" t="s">
        <v>527</v>
      </c>
      <c r="D142" s="82" t="s">
        <v>798</v>
      </c>
      <c r="E142" s="83" t="s">
        <v>529</v>
      </c>
      <c r="F142" s="83"/>
      <c r="G142" s="83"/>
      <c r="H142" s="84">
        <v>0.690972222222222</v>
      </c>
      <c r="I142" s="93">
        <v>0.694444444444444</v>
      </c>
      <c r="J142" s="94">
        <v>0.00347222222222222</v>
      </c>
      <c r="K142" s="94"/>
      <c r="L142" s="95"/>
      <c r="M142" s="96"/>
      <c r="N142" s="83"/>
      <c r="O142" s="97" t="s">
        <v>795</v>
      </c>
      <c r="P142" s="83" t="s">
        <v>795</v>
      </c>
      <c r="Q142" s="81" t="s">
        <v>531</v>
      </c>
    </row>
    <row r="143" spans="1:17">
      <c r="A143" s="81" t="s">
        <v>677</v>
      </c>
      <c r="B143" s="101"/>
      <c r="C143" s="82" t="s">
        <v>527</v>
      </c>
      <c r="D143" s="82" t="s">
        <v>798</v>
      </c>
      <c r="E143" s="83" t="s">
        <v>529</v>
      </c>
      <c r="F143" s="83" t="s">
        <v>535</v>
      </c>
      <c r="G143" s="83"/>
      <c r="H143" s="84">
        <v>0.701388888888889</v>
      </c>
      <c r="I143" s="93">
        <v>0.704861111111111</v>
      </c>
      <c r="J143" s="94">
        <v>0.00347222222222222</v>
      </c>
      <c r="K143" s="94"/>
      <c r="L143" s="95">
        <v>0.00694444444444444</v>
      </c>
      <c r="M143" s="96"/>
      <c r="N143" s="83">
        <v>0</v>
      </c>
      <c r="O143" s="97" t="s">
        <v>797</v>
      </c>
      <c r="P143" s="83" t="s">
        <v>795</v>
      </c>
      <c r="Q143" s="81" t="s">
        <v>531</v>
      </c>
    </row>
    <row r="144" spans="1:17">
      <c r="A144" s="81" t="s">
        <v>677</v>
      </c>
      <c r="B144" s="101"/>
      <c r="C144" s="82" t="s">
        <v>527</v>
      </c>
      <c r="D144" s="82" t="s">
        <v>798</v>
      </c>
      <c r="E144" s="83" t="s">
        <v>529</v>
      </c>
      <c r="F144" s="83" t="s">
        <v>535</v>
      </c>
      <c r="G144" s="83"/>
      <c r="H144" s="84">
        <v>0.746527777777778</v>
      </c>
      <c r="I144" s="93">
        <v>0.75</v>
      </c>
      <c r="J144" s="94">
        <v>0.00347222222222222</v>
      </c>
      <c r="K144" s="94"/>
      <c r="L144" s="95">
        <v>0.0416666666666667</v>
      </c>
      <c r="M144" s="96">
        <v>80</v>
      </c>
      <c r="N144" s="83">
        <v>80</v>
      </c>
      <c r="O144" s="97" t="s">
        <v>796</v>
      </c>
      <c r="P144" s="83" t="s">
        <v>176</v>
      </c>
      <c r="Q144" s="81" t="s">
        <v>531</v>
      </c>
    </row>
    <row r="145" spans="1:17">
      <c r="A145" s="81" t="s">
        <v>677</v>
      </c>
      <c r="B145" s="101" t="s">
        <v>793</v>
      </c>
      <c r="C145" s="82" t="s">
        <v>527</v>
      </c>
      <c r="D145" s="82" t="s">
        <v>798</v>
      </c>
      <c r="E145" s="83" t="s">
        <v>529</v>
      </c>
      <c r="F145" s="83" t="s">
        <v>535</v>
      </c>
      <c r="G145" s="83"/>
      <c r="H145" s="84">
        <v>0.791666666666667</v>
      </c>
      <c r="I145" s="93">
        <v>0.795138888888889</v>
      </c>
      <c r="J145" s="94">
        <v>0.00347222222222222</v>
      </c>
      <c r="K145" s="94"/>
      <c r="L145" s="95"/>
      <c r="M145" s="96">
        <v>80</v>
      </c>
      <c r="N145" s="83">
        <v>160</v>
      </c>
      <c r="O145" s="97" t="s">
        <v>795</v>
      </c>
      <c r="P145" s="83" t="s">
        <v>795</v>
      </c>
      <c r="Q145" s="81" t="s">
        <v>531</v>
      </c>
    </row>
    <row r="146" spans="1:17">
      <c r="A146" s="81" t="s">
        <v>677</v>
      </c>
      <c r="B146" s="101" t="s">
        <v>174</v>
      </c>
      <c r="C146" s="82" t="s">
        <v>527</v>
      </c>
      <c r="D146" s="82" t="s">
        <v>799</v>
      </c>
      <c r="E146" s="83" t="s">
        <v>529</v>
      </c>
      <c r="F146" s="83"/>
      <c r="G146" s="83"/>
      <c r="H146" s="84">
        <v>0.697916666666667</v>
      </c>
      <c r="I146" s="93">
        <v>0.71875</v>
      </c>
      <c r="J146" s="94">
        <v>0.0208333333333333</v>
      </c>
      <c r="K146" s="94"/>
      <c r="L146" s="95"/>
      <c r="M146" s="96"/>
      <c r="N146" s="83"/>
      <c r="O146" s="97" t="s">
        <v>177</v>
      </c>
      <c r="P146" s="83" t="s">
        <v>800</v>
      </c>
      <c r="Q146" s="81" t="s">
        <v>531</v>
      </c>
    </row>
    <row r="147" spans="1:17">
      <c r="A147" s="81" t="s">
        <v>677</v>
      </c>
      <c r="B147" s="101">
        <v>0</v>
      </c>
      <c r="C147" s="82" t="s">
        <v>527</v>
      </c>
      <c r="D147" s="82" t="s">
        <v>799</v>
      </c>
      <c r="E147" s="83" t="s">
        <v>529</v>
      </c>
      <c r="F147" s="83"/>
      <c r="G147" s="83" t="s">
        <v>530</v>
      </c>
      <c r="H147" s="84">
        <v>0.708333333333333</v>
      </c>
      <c r="I147" s="93">
        <v>0.711805555555556</v>
      </c>
      <c r="J147" s="94">
        <v>0.00347222222222222</v>
      </c>
      <c r="K147" s="94"/>
      <c r="L147" s="95">
        <v>0</v>
      </c>
      <c r="M147" s="96">
        <v>0</v>
      </c>
      <c r="N147" s="83">
        <v>0</v>
      </c>
      <c r="O147" s="97" t="s">
        <v>801</v>
      </c>
      <c r="P147" s="83" t="s">
        <v>800</v>
      </c>
      <c r="Q147" s="81" t="s">
        <v>531</v>
      </c>
    </row>
    <row r="148" spans="1:17">
      <c r="A148" s="81" t="s">
        <v>677</v>
      </c>
      <c r="B148" s="101" t="s">
        <v>780</v>
      </c>
      <c r="C148" s="82" t="s">
        <v>527</v>
      </c>
      <c r="D148" s="82" t="s">
        <v>799</v>
      </c>
      <c r="E148" s="83" t="s">
        <v>529</v>
      </c>
      <c r="F148" s="83" t="s">
        <v>535</v>
      </c>
      <c r="G148" s="83"/>
      <c r="H148" s="84">
        <v>0.788194444444444</v>
      </c>
      <c r="I148" s="93">
        <v>0.791666666666667</v>
      </c>
      <c r="J148" s="94">
        <v>0.00347222222222222</v>
      </c>
      <c r="K148" s="94"/>
      <c r="L148" s="95">
        <v>0.0763888888888889</v>
      </c>
      <c r="M148" s="96">
        <v>165</v>
      </c>
      <c r="N148" s="83">
        <v>165</v>
      </c>
      <c r="O148" s="97" t="s">
        <v>781</v>
      </c>
      <c r="P148" s="83" t="s">
        <v>802</v>
      </c>
      <c r="Q148" s="81" t="s">
        <v>531</v>
      </c>
    </row>
    <row r="149" spans="1:17">
      <c r="A149" s="81" t="s">
        <v>677</v>
      </c>
      <c r="B149" s="101" t="s">
        <v>174</v>
      </c>
      <c r="C149" s="82" t="s">
        <v>527</v>
      </c>
      <c r="D149" s="82" t="s">
        <v>799</v>
      </c>
      <c r="E149" s="83" t="s">
        <v>529</v>
      </c>
      <c r="F149" s="83" t="s">
        <v>535</v>
      </c>
      <c r="G149" s="83"/>
      <c r="H149" s="84">
        <v>0.868055555555555</v>
      </c>
      <c r="I149" s="93">
        <v>0.871527777777778</v>
      </c>
      <c r="J149" s="94">
        <v>0.00347222222222222</v>
      </c>
      <c r="K149" s="94"/>
      <c r="L149" s="95">
        <v>0.0763888888888889</v>
      </c>
      <c r="M149" s="96">
        <v>165</v>
      </c>
      <c r="N149" s="83">
        <v>330</v>
      </c>
      <c r="O149" s="97" t="s">
        <v>177</v>
      </c>
      <c r="P149" s="83" t="s">
        <v>800</v>
      </c>
      <c r="Q149" s="81" t="s">
        <v>531</v>
      </c>
    </row>
    <row r="150" spans="1:17">
      <c r="A150" s="81" t="s">
        <v>677</v>
      </c>
      <c r="B150" s="101" t="s">
        <v>803</v>
      </c>
      <c r="C150" s="82" t="s">
        <v>527</v>
      </c>
      <c r="D150" s="82" t="s">
        <v>804</v>
      </c>
      <c r="E150" s="83" t="s">
        <v>529</v>
      </c>
      <c r="F150" s="83"/>
      <c r="G150" s="83" t="s">
        <v>530</v>
      </c>
      <c r="H150" s="84">
        <v>0.416666666666667</v>
      </c>
      <c r="I150" s="93">
        <v>0.4375</v>
      </c>
      <c r="J150" s="94">
        <v>0.0208333333333333</v>
      </c>
      <c r="K150" s="94"/>
      <c r="L150" s="95"/>
      <c r="M150" s="96"/>
      <c r="N150" s="83"/>
      <c r="O150" s="97" t="s">
        <v>805</v>
      </c>
      <c r="P150" s="83" t="s">
        <v>137</v>
      </c>
      <c r="Q150" s="81" t="s">
        <v>531</v>
      </c>
    </row>
    <row r="151" spans="1:17">
      <c r="A151" s="81" t="s">
        <v>677</v>
      </c>
      <c r="B151" s="101" t="s">
        <v>806</v>
      </c>
      <c r="C151" s="82" t="s">
        <v>527</v>
      </c>
      <c r="D151" s="82" t="s">
        <v>804</v>
      </c>
      <c r="E151" s="83" t="s">
        <v>529</v>
      </c>
      <c r="F151" s="83" t="s">
        <v>535</v>
      </c>
      <c r="G151" s="83"/>
      <c r="H151" s="84">
        <v>0.479166666666667</v>
      </c>
      <c r="I151" s="93">
        <v>0.479166666666667</v>
      </c>
      <c r="J151" s="94">
        <v>0</v>
      </c>
      <c r="K151" s="94"/>
      <c r="L151" s="95">
        <v>0.0416666666666667</v>
      </c>
      <c r="M151" s="96">
        <v>75</v>
      </c>
      <c r="N151" s="83">
        <v>75</v>
      </c>
      <c r="O151" s="97" t="s">
        <v>807</v>
      </c>
      <c r="P151" s="83" t="s">
        <v>808</v>
      </c>
      <c r="Q151" s="81" t="s">
        <v>531</v>
      </c>
    </row>
    <row r="152" spans="1:17">
      <c r="A152" s="81" t="s">
        <v>677</v>
      </c>
      <c r="B152" s="101" t="s">
        <v>809</v>
      </c>
      <c r="C152" s="82" t="s">
        <v>527</v>
      </c>
      <c r="D152" s="82" t="s">
        <v>804</v>
      </c>
      <c r="E152" s="83" t="s">
        <v>529</v>
      </c>
      <c r="F152" s="83" t="s">
        <v>535</v>
      </c>
      <c r="G152" s="83"/>
      <c r="H152" s="84">
        <v>0.540277777777778</v>
      </c>
      <c r="I152" s="93">
        <v>0.706944444444444</v>
      </c>
      <c r="J152" s="94">
        <v>0.166666666666667</v>
      </c>
      <c r="K152" s="94"/>
      <c r="L152" s="95">
        <v>0.0611111111111111</v>
      </c>
      <c r="M152" s="96">
        <v>110</v>
      </c>
      <c r="N152" s="83">
        <v>185</v>
      </c>
      <c r="O152" s="97" t="s">
        <v>810</v>
      </c>
      <c r="P152" s="83" t="s">
        <v>811</v>
      </c>
      <c r="Q152" s="81" t="s">
        <v>531</v>
      </c>
    </row>
    <row r="153" spans="1:17">
      <c r="A153" s="81" t="s">
        <v>677</v>
      </c>
      <c r="B153" s="101" t="s">
        <v>809</v>
      </c>
      <c r="C153" s="82" t="s">
        <v>527</v>
      </c>
      <c r="D153" s="82" t="s">
        <v>804</v>
      </c>
      <c r="E153" s="83" t="s">
        <v>529</v>
      </c>
      <c r="F153" s="83"/>
      <c r="G153" s="83" t="s">
        <v>530</v>
      </c>
      <c r="H153" s="84">
        <v>0.706944444444444</v>
      </c>
      <c r="I153" s="93">
        <v>0.706944444444444</v>
      </c>
      <c r="J153" s="94">
        <v>0</v>
      </c>
      <c r="K153" s="94"/>
      <c r="L153" s="95">
        <v>0</v>
      </c>
      <c r="M153" s="96">
        <v>0</v>
      </c>
      <c r="N153" s="83">
        <v>185</v>
      </c>
      <c r="O153" s="97" t="s">
        <v>810</v>
      </c>
      <c r="P153" s="83" t="s">
        <v>812</v>
      </c>
      <c r="Q153" s="81" t="s">
        <v>531</v>
      </c>
    </row>
    <row r="154" spans="1:17">
      <c r="A154" s="81" t="s">
        <v>677</v>
      </c>
      <c r="B154" s="101" t="s">
        <v>803</v>
      </c>
      <c r="C154" s="82" t="s">
        <v>527</v>
      </c>
      <c r="D154" s="82" t="s">
        <v>804</v>
      </c>
      <c r="E154" s="83" t="s">
        <v>529</v>
      </c>
      <c r="F154" s="83" t="s">
        <v>535</v>
      </c>
      <c r="G154" s="83"/>
      <c r="H154" s="84">
        <v>0.779166666666667</v>
      </c>
      <c r="I154" s="93">
        <v>0.779166666666667</v>
      </c>
      <c r="J154" s="94">
        <v>0</v>
      </c>
      <c r="K154" s="94"/>
      <c r="L154" s="95">
        <v>0.0722222222222222</v>
      </c>
      <c r="M154" s="96">
        <v>130</v>
      </c>
      <c r="N154" s="83">
        <v>315</v>
      </c>
      <c r="O154" s="97" t="s">
        <v>805</v>
      </c>
      <c r="P154" s="83" t="s">
        <v>137</v>
      </c>
      <c r="Q154" s="81" t="s">
        <v>531</v>
      </c>
    </row>
    <row r="155" spans="1:17">
      <c r="A155" s="81" t="s">
        <v>677</v>
      </c>
      <c r="B155" s="101" t="s">
        <v>803</v>
      </c>
      <c r="C155" s="82" t="s">
        <v>527</v>
      </c>
      <c r="D155" s="82" t="s">
        <v>813</v>
      </c>
      <c r="E155" s="83" t="s">
        <v>529</v>
      </c>
      <c r="F155" s="83"/>
      <c r="G155" s="83"/>
      <c r="H155" s="84">
        <v>0.604166666666667</v>
      </c>
      <c r="I155" s="93">
        <v>0.604166666666667</v>
      </c>
      <c r="J155" s="94">
        <v>0</v>
      </c>
      <c r="K155" s="94"/>
      <c r="L155" s="95"/>
      <c r="M155" s="96"/>
      <c r="N155" s="83"/>
      <c r="O155" s="97" t="s">
        <v>805</v>
      </c>
      <c r="P155" s="83" t="s">
        <v>137</v>
      </c>
      <c r="Q155" s="81" t="s">
        <v>531</v>
      </c>
    </row>
    <row r="156" spans="1:17">
      <c r="A156" s="81" t="s">
        <v>677</v>
      </c>
      <c r="B156" s="101" t="s">
        <v>806</v>
      </c>
      <c r="C156" s="82" t="s">
        <v>527</v>
      </c>
      <c r="D156" s="82" t="s">
        <v>813</v>
      </c>
      <c r="E156" s="83" t="s">
        <v>529</v>
      </c>
      <c r="F156" s="83"/>
      <c r="G156" s="83" t="s">
        <v>530</v>
      </c>
      <c r="H156" s="84">
        <v>0.648809523809524</v>
      </c>
      <c r="I156" s="93">
        <v>0.648809523809524</v>
      </c>
      <c r="J156" s="94">
        <v>0</v>
      </c>
      <c r="K156" s="94"/>
      <c r="L156" s="95">
        <v>0.0446428571428571</v>
      </c>
      <c r="M156" s="96">
        <v>75</v>
      </c>
      <c r="N156" s="83">
        <v>75</v>
      </c>
      <c r="O156" s="97" t="s">
        <v>807</v>
      </c>
      <c r="P156" s="83" t="s">
        <v>808</v>
      </c>
      <c r="Q156" s="81" t="s">
        <v>531</v>
      </c>
    </row>
    <row r="157" spans="1:17">
      <c r="A157" s="81" t="s">
        <v>677</v>
      </c>
      <c r="B157" s="101" t="s">
        <v>806</v>
      </c>
      <c r="C157" s="82" t="s">
        <v>527</v>
      </c>
      <c r="D157" s="82" t="s">
        <v>813</v>
      </c>
      <c r="E157" s="83" t="s">
        <v>529</v>
      </c>
      <c r="F157" s="83"/>
      <c r="G157" s="83" t="s">
        <v>530</v>
      </c>
      <c r="H157" s="84">
        <v>0.648809523809524</v>
      </c>
      <c r="I157" s="93">
        <v>0.732142857142857</v>
      </c>
      <c r="J157" s="94">
        <v>0.0833333333333333</v>
      </c>
      <c r="K157" s="94"/>
      <c r="L157" s="95">
        <v>0</v>
      </c>
      <c r="M157" s="96"/>
      <c r="N157" s="83">
        <v>75</v>
      </c>
      <c r="O157" s="97" t="s">
        <v>807</v>
      </c>
      <c r="P157" s="83" t="s">
        <v>808</v>
      </c>
      <c r="Q157" s="81" t="s">
        <v>531</v>
      </c>
    </row>
    <row r="158" spans="1:17">
      <c r="A158" s="81" t="s">
        <v>677</v>
      </c>
      <c r="B158" s="101" t="s">
        <v>803</v>
      </c>
      <c r="C158" s="82" t="s">
        <v>527</v>
      </c>
      <c r="D158" s="82" t="s">
        <v>813</v>
      </c>
      <c r="E158" s="83" t="s">
        <v>529</v>
      </c>
      <c r="F158" s="83" t="s">
        <v>535</v>
      </c>
      <c r="G158" s="83"/>
      <c r="H158" s="84">
        <v>0.773261278195489</v>
      </c>
      <c r="I158" s="93">
        <v>0.780205722639933</v>
      </c>
      <c r="J158" s="94">
        <v>0.00694444444444444</v>
      </c>
      <c r="K158" s="94"/>
      <c r="L158" s="95">
        <v>0.0411184210526316</v>
      </c>
      <c r="M158" s="96">
        <v>75</v>
      </c>
      <c r="N158" s="83">
        <v>150</v>
      </c>
      <c r="O158" s="97" t="s">
        <v>805</v>
      </c>
      <c r="P158" s="83" t="s">
        <v>812</v>
      </c>
      <c r="Q158" s="81" t="s">
        <v>531</v>
      </c>
    </row>
    <row r="159" spans="1:17">
      <c r="A159" s="81" t="s">
        <v>677</v>
      </c>
      <c r="B159" s="101" t="s">
        <v>803</v>
      </c>
      <c r="C159" s="82" t="s">
        <v>527</v>
      </c>
      <c r="D159" s="82" t="s">
        <v>814</v>
      </c>
      <c r="E159" s="83" t="s">
        <v>529</v>
      </c>
      <c r="F159" s="83"/>
      <c r="G159" s="83" t="s">
        <v>530</v>
      </c>
      <c r="H159" s="84">
        <v>0.479166666666667</v>
      </c>
      <c r="I159" s="93">
        <v>0.479166666666667</v>
      </c>
      <c r="J159" s="94">
        <v>0</v>
      </c>
      <c r="K159" s="94"/>
      <c r="L159" s="95"/>
      <c r="M159" s="96"/>
      <c r="N159" s="83"/>
      <c r="O159" s="97" t="s">
        <v>805</v>
      </c>
      <c r="P159" s="83" t="s">
        <v>137</v>
      </c>
      <c r="Q159" s="81" t="s">
        <v>531</v>
      </c>
    </row>
    <row r="160" spans="1:17">
      <c r="A160" s="81" t="s">
        <v>677</v>
      </c>
      <c r="B160" s="101" t="s">
        <v>815</v>
      </c>
      <c r="C160" s="82" t="s">
        <v>527</v>
      </c>
      <c r="D160" s="82" t="s">
        <v>814</v>
      </c>
      <c r="E160" s="83" t="s">
        <v>529</v>
      </c>
      <c r="F160" s="83" t="s">
        <v>535</v>
      </c>
      <c r="G160" s="83"/>
      <c r="H160" s="84">
        <v>0.564549180327869</v>
      </c>
      <c r="I160" s="93">
        <v>0.731215846994535</v>
      </c>
      <c r="J160" s="94">
        <v>0.166666666666667</v>
      </c>
      <c r="K160" s="94"/>
      <c r="L160" s="95">
        <v>0.0853825136612022</v>
      </c>
      <c r="M160" s="96">
        <v>125</v>
      </c>
      <c r="N160" s="83">
        <v>125</v>
      </c>
      <c r="O160" s="97" t="s">
        <v>816</v>
      </c>
      <c r="P160" s="83" t="s">
        <v>817</v>
      </c>
      <c r="Q160" s="81" t="s">
        <v>531</v>
      </c>
    </row>
    <row r="161" spans="1:17">
      <c r="A161" s="81" t="s">
        <v>677</v>
      </c>
      <c r="B161" s="101" t="s">
        <v>815</v>
      </c>
      <c r="C161" s="82" t="s">
        <v>527</v>
      </c>
      <c r="D161" s="82" t="s">
        <v>814</v>
      </c>
      <c r="E161" s="83" t="s">
        <v>529</v>
      </c>
      <c r="F161" s="83"/>
      <c r="G161" s="83" t="s">
        <v>530</v>
      </c>
      <c r="H161" s="84">
        <v>0.731215846994535</v>
      </c>
      <c r="I161" s="93">
        <v>0.731215846994535</v>
      </c>
      <c r="J161" s="94">
        <v>0</v>
      </c>
      <c r="K161" s="94"/>
      <c r="L161" s="95">
        <v>0</v>
      </c>
      <c r="M161" s="96">
        <v>0</v>
      </c>
      <c r="N161" s="83">
        <v>125</v>
      </c>
      <c r="O161" s="97" t="s">
        <v>816</v>
      </c>
      <c r="P161" s="83" t="s">
        <v>817</v>
      </c>
      <c r="Q161" s="81" t="s">
        <v>531</v>
      </c>
    </row>
    <row r="162" spans="1:17">
      <c r="A162" s="81" t="s">
        <v>677</v>
      </c>
      <c r="B162" s="101" t="s">
        <v>803</v>
      </c>
      <c r="C162" s="82" t="s">
        <v>527</v>
      </c>
      <c r="D162" s="82" t="s">
        <v>814</v>
      </c>
      <c r="E162" s="83" t="s">
        <v>529</v>
      </c>
      <c r="F162" s="83" t="s">
        <v>535</v>
      </c>
      <c r="G162" s="83"/>
      <c r="H162" s="84">
        <v>0.816598360655738</v>
      </c>
      <c r="I162" s="93">
        <v>0.816598360655738</v>
      </c>
      <c r="J162" s="94">
        <v>0</v>
      </c>
      <c r="K162" s="94"/>
      <c r="L162" s="95">
        <v>0.0853825136612022</v>
      </c>
      <c r="M162" s="96">
        <v>125</v>
      </c>
      <c r="N162" s="83">
        <v>250</v>
      </c>
      <c r="O162" s="97" t="s">
        <v>805</v>
      </c>
      <c r="P162" s="83" t="s">
        <v>812</v>
      </c>
      <c r="Q162" s="81" t="s">
        <v>531</v>
      </c>
    </row>
    <row r="163" spans="1:17">
      <c r="A163" s="81" t="s">
        <v>677</v>
      </c>
      <c r="B163" s="81" t="s">
        <v>174</v>
      </c>
      <c r="C163" s="82" t="s">
        <v>631</v>
      </c>
      <c r="D163" s="82" t="s">
        <v>818</v>
      </c>
      <c r="E163" s="83" t="s">
        <v>606</v>
      </c>
      <c r="F163" s="83"/>
      <c r="G163" s="83" t="s">
        <v>530</v>
      </c>
      <c r="H163" s="84">
        <v>0.697916666666667</v>
      </c>
      <c r="I163" s="93">
        <v>0.729166666666667</v>
      </c>
      <c r="J163" s="94">
        <v>0.03125</v>
      </c>
      <c r="K163" s="94"/>
      <c r="L163" s="95"/>
      <c r="M163" s="96"/>
      <c r="N163" s="83"/>
      <c r="O163" s="97" t="s">
        <v>819</v>
      </c>
      <c r="P163" s="83" t="s">
        <v>176</v>
      </c>
      <c r="Q163" s="81" t="s">
        <v>531</v>
      </c>
    </row>
    <row r="164" spans="1:17">
      <c r="A164" s="81" t="s">
        <v>677</v>
      </c>
      <c r="B164" s="81" t="s">
        <v>780</v>
      </c>
      <c r="C164" s="82" t="s">
        <v>631</v>
      </c>
      <c r="D164" s="82" t="s">
        <v>818</v>
      </c>
      <c r="E164" s="83" t="s">
        <v>606</v>
      </c>
      <c r="F164" s="83" t="s">
        <v>535</v>
      </c>
      <c r="G164" s="83" t="s">
        <v>530</v>
      </c>
      <c r="H164" s="84">
        <v>0.809796253379683</v>
      </c>
      <c r="I164" s="93">
        <v>0.816740697824128</v>
      </c>
      <c r="J164" s="94">
        <v>0.00694444444444444</v>
      </c>
      <c r="K164" s="94"/>
      <c r="L164" s="95">
        <v>0.0806295867130166</v>
      </c>
      <c r="M164" s="96">
        <v>167</v>
      </c>
      <c r="N164" s="83">
        <v>167</v>
      </c>
      <c r="O164" s="97" t="s">
        <v>781</v>
      </c>
      <c r="P164" s="83" t="s">
        <v>109</v>
      </c>
      <c r="Q164" s="81" t="s">
        <v>531</v>
      </c>
    </row>
    <row r="165" spans="1:17">
      <c r="A165" s="81" t="s">
        <v>677</v>
      </c>
      <c r="B165" s="81" t="s">
        <v>780</v>
      </c>
      <c r="C165" s="82" t="s">
        <v>631</v>
      </c>
      <c r="D165" s="82" t="s">
        <v>820</v>
      </c>
      <c r="E165" s="83" t="s">
        <v>578</v>
      </c>
      <c r="F165" s="83" t="s">
        <v>535</v>
      </c>
      <c r="G165" s="83"/>
      <c r="H165" s="84">
        <v>0.309313725490196</v>
      </c>
      <c r="I165" s="93">
        <v>0.316258169934641</v>
      </c>
      <c r="J165" s="94">
        <v>0.00694444444444444</v>
      </c>
      <c r="K165" s="94"/>
      <c r="L165" s="95">
        <v>0.225980392156863</v>
      </c>
      <c r="M165" s="96">
        <v>461</v>
      </c>
      <c r="N165" s="83">
        <v>461</v>
      </c>
      <c r="O165" s="97" t="s">
        <v>781</v>
      </c>
      <c r="P165" s="83" t="s">
        <v>109</v>
      </c>
      <c r="Q165" s="81" t="s">
        <v>531</v>
      </c>
    </row>
    <row r="166" spans="1:17">
      <c r="A166" s="81" t="s">
        <v>677</v>
      </c>
      <c r="B166" s="81" t="s">
        <v>174</v>
      </c>
      <c r="C166" s="82" t="s">
        <v>631</v>
      </c>
      <c r="D166" s="82" t="s">
        <v>820</v>
      </c>
      <c r="E166" s="83" t="s">
        <v>578</v>
      </c>
      <c r="F166" s="83" t="s">
        <v>535</v>
      </c>
      <c r="G166" s="83" t="s">
        <v>530</v>
      </c>
      <c r="H166" s="84">
        <v>0.396887756647657</v>
      </c>
      <c r="I166" s="93">
        <v>0.403832201092102</v>
      </c>
      <c r="J166" s="94">
        <v>0.00694444444444444</v>
      </c>
      <c r="K166" s="94"/>
      <c r="L166" s="95">
        <v>0.0806295867130166</v>
      </c>
      <c r="M166" s="96">
        <v>167</v>
      </c>
      <c r="N166" s="83">
        <v>628</v>
      </c>
      <c r="O166" s="97" t="s">
        <v>819</v>
      </c>
      <c r="P166" s="83" t="s">
        <v>176</v>
      </c>
      <c r="Q166" s="81" t="s">
        <v>531</v>
      </c>
    </row>
    <row r="167" spans="1:17">
      <c r="A167" s="81" t="s">
        <v>677</v>
      </c>
      <c r="B167" s="81" t="s">
        <v>821</v>
      </c>
      <c r="C167" s="82" t="s">
        <v>631</v>
      </c>
      <c r="D167" s="82" t="s">
        <v>822</v>
      </c>
      <c r="E167" s="83" t="s">
        <v>606</v>
      </c>
      <c r="F167" s="83"/>
      <c r="G167" s="83" t="s">
        <v>530</v>
      </c>
      <c r="H167" s="84">
        <v>0.715277777777778</v>
      </c>
      <c r="I167" s="93">
        <v>0.71875</v>
      </c>
      <c r="J167" s="94">
        <v>0.00347222222222222</v>
      </c>
      <c r="K167" s="94"/>
      <c r="L167" s="95"/>
      <c r="M167" s="96"/>
      <c r="N167" s="83"/>
      <c r="O167" s="97" t="s">
        <v>823</v>
      </c>
      <c r="P167" s="83" t="s">
        <v>109</v>
      </c>
      <c r="Q167" s="81" t="s">
        <v>531</v>
      </c>
    </row>
    <row r="168" spans="1:17">
      <c r="A168" s="81" t="s">
        <v>677</v>
      </c>
      <c r="B168" s="81" t="s">
        <v>756</v>
      </c>
      <c r="C168" s="82" t="s">
        <v>631</v>
      </c>
      <c r="D168" s="82" t="s">
        <v>822</v>
      </c>
      <c r="E168" s="83" t="s">
        <v>606</v>
      </c>
      <c r="F168" s="83"/>
      <c r="G168" s="83" t="s">
        <v>530</v>
      </c>
      <c r="H168" s="84">
        <v>0.83840811965812</v>
      </c>
      <c r="I168" s="93">
        <v>0.878685897435897</v>
      </c>
      <c r="J168" s="94">
        <v>0.0402777777777778</v>
      </c>
      <c r="K168" s="94"/>
      <c r="L168" s="95">
        <v>0.11965811965812</v>
      </c>
      <c r="M168" s="96">
        <v>112</v>
      </c>
      <c r="N168" s="96">
        <v>112</v>
      </c>
      <c r="O168" s="97" t="s">
        <v>757</v>
      </c>
      <c r="P168" s="83" t="s">
        <v>109</v>
      </c>
      <c r="Q168" s="81" t="s">
        <v>531</v>
      </c>
    </row>
    <row r="169" spans="1:17">
      <c r="A169" s="81" t="s">
        <v>677</v>
      </c>
      <c r="B169" s="81" t="s">
        <v>756</v>
      </c>
      <c r="C169" s="82" t="s">
        <v>631</v>
      </c>
      <c r="D169" s="82" t="s">
        <v>822</v>
      </c>
      <c r="E169" s="83" t="s">
        <v>606</v>
      </c>
      <c r="F169" s="83" t="s">
        <v>535</v>
      </c>
      <c r="G169" s="83"/>
      <c r="H169" s="84">
        <v>0.257575757575758</v>
      </c>
      <c r="I169" s="93">
        <v>0.26104797979798</v>
      </c>
      <c r="J169" s="94">
        <v>0.00347222222222222</v>
      </c>
      <c r="K169" s="94"/>
      <c r="L169" s="95">
        <v>0.174242424242424</v>
      </c>
      <c r="M169" s="96">
        <v>276</v>
      </c>
      <c r="N169" s="96">
        <v>664</v>
      </c>
      <c r="O169" s="97" t="s">
        <v>757</v>
      </c>
      <c r="P169" s="83" t="s">
        <v>109</v>
      </c>
      <c r="Q169" s="81" t="s">
        <v>531</v>
      </c>
    </row>
    <row r="170" spans="1:17">
      <c r="A170" s="81" t="s">
        <v>677</v>
      </c>
      <c r="B170" s="81" t="s">
        <v>821</v>
      </c>
      <c r="C170" s="82" t="s">
        <v>631</v>
      </c>
      <c r="D170" s="82" t="s">
        <v>822</v>
      </c>
      <c r="E170" s="83" t="s">
        <v>606</v>
      </c>
      <c r="F170" s="83" t="s">
        <v>535</v>
      </c>
      <c r="G170" s="83"/>
      <c r="H170" s="84">
        <v>0.323270202020202</v>
      </c>
      <c r="I170" s="93">
        <v>0.326742424242424</v>
      </c>
      <c r="J170" s="94">
        <v>0.00347222222222222</v>
      </c>
      <c r="K170" s="94"/>
      <c r="L170" s="95">
        <v>0.0622222222222222</v>
      </c>
      <c r="M170" s="96">
        <v>112</v>
      </c>
      <c r="N170" s="96">
        <v>776</v>
      </c>
      <c r="O170" s="97" t="s">
        <v>823</v>
      </c>
      <c r="P170" s="83" t="s">
        <v>109</v>
      </c>
      <c r="Q170" s="81" t="s">
        <v>531</v>
      </c>
    </row>
    <row r="171" spans="1:17">
      <c r="A171" s="81" t="s">
        <v>677</v>
      </c>
      <c r="B171" s="81" t="s">
        <v>821</v>
      </c>
      <c r="C171" s="82" t="s">
        <v>631</v>
      </c>
      <c r="D171" s="82" t="s">
        <v>824</v>
      </c>
      <c r="E171" s="83" t="s">
        <v>576</v>
      </c>
      <c r="F171" s="83"/>
      <c r="G171" s="83" t="s">
        <v>530</v>
      </c>
      <c r="H171" s="84">
        <v>0.715277777777778</v>
      </c>
      <c r="I171" s="93">
        <v>0.71875</v>
      </c>
      <c r="J171" s="94">
        <v>0.00347222222222222</v>
      </c>
      <c r="K171" s="94"/>
      <c r="L171" s="95"/>
      <c r="M171" s="96"/>
      <c r="N171" s="83"/>
      <c r="O171" s="97" t="s">
        <v>823</v>
      </c>
      <c r="P171" s="83" t="s">
        <v>109</v>
      </c>
      <c r="Q171" s="81" t="s">
        <v>531</v>
      </c>
    </row>
    <row r="172" spans="1:17">
      <c r="A172" s="81" t="s">
        <v>677</v>
      </c>
      <c r="B172" s="81" t="s">
        <v>756</v>
      </c>
      <c r="C172" s="82" t="s">
        <v>631</v>
      </c>
      <c r="D172" s="82" t="s">
        <v>824</v>
      </c>
      <c r="E172" s="83" t="s">
        <v>576</v>
      </c>
      <c r="F172" s="83"/>
      <c r="G172" s="83" t="s">
        <v>530</v>
      </c>
      <c r="H172" s="84">
        <v>0.83840811965812</v>
      </c>
      <c r="I172" s="93">
        <v>0.878685897435897</v>
      </c>
      <c r="J172" s="94">
        <v>0.0402777777777778</v>
      </c>
      <c r="K172" s="94"/>
      <c r="L172" s="95">
        <v>0.0607142857142857</v>
      </c>
      <c r="M172" s="96">
        <v>99</v>
      </c>
      <c r="N172" s="83">
        <v>99</v>
      </c>
      <c r="O172" s="97" t="s">
        <v>757</v>
      </c>
      <c r="P172" s="83" t="s">
        <v>109</v>
      </c>
      <c r="Q172" s="81" t="s">
        <v>531</v>
      </c>
    </row>
    <row r="173" spans="1:17">
      <c r="A173" s="81" t="s">
        <v>677</v>
      </c>
      <c r="B173" s="81" t="s">
        <v>756</v>
      </c>
      <c r="C173" s="82" t="s">
        <v>631</v>
      </c>
      <c r="D173" s="82" t="s">
        <v>825</v>
      </c>
      <c r="E173" s="83" t="s">
        <v>766</v>
      </c>
      <c r="F173" s="83" t="s">
        <v>535</v>
      </c>
      <c r="G173" s="83"/>
      <c r="H173" s="84">
        <v>0.260416666666667</v>
      </c>
      <c r="I173" s="93">
        <v>0.263888888888889</v>
      </c>
      <c r="J173" s="94">
        <v>0.00347222222222222</v>
      </c>
      <c r="K173" s="94"/>
      <c r="L173" s="95">
        <v>0.163020833333333</v>
      </c>
      <c r="M173" s="96">
        <v>303</v>
      </c>
      <c r="N173" s="96">
        <v>303</v>
      </c>
      <c r="O173" s="97" t="s">
        <v>826</v>
      </c>
      <c r="P173" s="83" t="s">
        <v>109</v>
      </c>
      <c r="Q173" s="81" t="s">
        <v>531</v>
      </c>
    </row>
    <row r="174" spans="1:17">
      <c r="A174" s="81" t="s">
        <v>677</v>
      </c>
      <c r="B174" s="81" t="s">
        <v>827</v>
      </c>
      <c r="C174" s="82" t="s">
        <v>631</v>
      </c>
      <c r="D174" s="82" t="s">
        <v>825</v>
      </c>
      <c r="E174" s="83" t="s">
        <v>766</v>
      </c>
      <c r="F174" s="83" t="s">
        <v>535</v>
      </c>
      <c r="G174" s="83"/>
      <c r="H174" s="84">
        <v>0.298611111111111</v>
      </c>
      <c r="I174" s="93">
        <v>0.302083333333333</v>
      </c>
      <c r="J174" s="94">
        <v>0.00347222222222222</v>
      </c>
      <c r="K174" s="94"/>
      <c r="L174" s="95">
        <v>0.0307142857142857</v>
      </c>
      <c r="M174" s="96">
        <v>51.6</v>
      </c>
      <c r="N174" s="96">
        <v>354.6</v>
      </c>
      <c r="O174" s="97" t="s">
        <v>828</v>
      </c>
      <c r="P174" s="83" t="s">
        <v>109</v>
      </c>
      <c r="Q174" s="81" t="s">
        <v>531</v>
      </c>
    </row>
    <row r="175" spans="1:17">
      <c r="A175" s="81" t="s">
        <v>677</v>
      </c>
      <c r="B175" s="81" t="s">
        <v>829</v>
      </c>
      <c r="C175" s="82" t="s">
        <v>631</v>
      </c>
      <c r="D175" s="82" t="s">
        <v>825</v>
      </c>
      <c r="E175" s="83" t="s">
        <v>766</v>
      </c>
      <c r="F175" s="83" t="s">
        <v>535</v>
      </c>
      <c r="G175" s="83"/>
      <c r="H175" s="84">
        <v>0.395833333333333</v>
      </c>
      <c r="I175" s="93">
        <v>0.399305555555556</v>
      </c>
      <c r="J175" s="94">
        <v>0.0416666666666667</v>
      </c>
      <c r="K175" s="94"/>
      <c r="L175" s="95">
        <v>0.122395833333333</v>
      </c>
      <c r="M175" s="96">
        <v>215</v>
      </c>
      <c r="N175" s="96">
        <v>569.6</v>
      </c>
      <c r="O175" s="97" t="s">
        <v>830</v>
      </c>
      <c r="P175" s="83" t="s">
        <v>109</v>
      </c>
      <c r="Q175" s="81" t="s">
        <v>531</v>
      </c>
    </row>
    <row r="176" spans="1:17">
      <c r="A176" s="81" t="s">
        <v>677</v>
      </c>
      <c r="B176" s="81" t="s">
        <v>821</v>
      </c>
      <c r="C176" s="82" t="s">
        <v>631</v>
      </c>
      <c r="D176" s="82" t="s">
        <v>825</v>
      </c>
      <c r="E176" s="83" t="s">
        <v>766</v>
      </c>
      <c r="F176" s="83" t="s">
        <v>535</v>
      </c>
      <c r="G176" s="83"/>
      <c r="H176" s="84">
        <v>0.486111111111111</v>
      </c>
      <c r="I176" s="93">
        <v>0.489583333333333</v>
      </c>
      <c r="J176" s="94">
        <v>0.00347222222222222</v>
      </c>
      <c r="K176" s="94"/>
      <c r="L176" s="95">
        <v>0.0902777777777778</v>
      </c>
      <c r="M176" s="96">
        <v>187</v>
      </c>
      <c r="N176" s="96">
        <v>756.6</v>
      </c>
      <c r="O176" s="97" t="s">
        <v>831</v>
      </c>
      <c r="P176" s="83" t="s">
        <v>109</v>
      </c>
      <c r="Q176" s="81" t="s">
        <v>531</v>
      </c>
    </row>
    <row r="177" spans="1:17">
      <c r="A177" s="81" t="s">
        <v>677</v>
      </c>
      <c r="B177" s="101" t="s">
        <v>122</v>
      </c>
      <c r="C177" s="82" t="s">
        <v>637</v>
      </c>
      <c r="D177" s="82" t="s">
        <v>832</v>
      </c>
      <c r="E177" s="83" t="s">
        <v>606</v>
      </c>
      <c r="F177" s="83" t="s">
        <v>535</v>
      </c>
      <c r="G177" s="83"/>
      <c r="H177" s="84">
        <v>0.229649511474665</v>
      </c>
      <c r="I177" s="93">
        <v>0.243538400363554</v>
      </c>
      <c r="J177" s="94">
        <v>0.0138888888888889</v>
      </c>
      <c r="K177" s="94"/>
      <c r="L177" s="95">
        <v>0.364583333333333</v>
      </c>
      <c r="M177" s="96">
        <v>660</v>
      </c>
      <c r="N177" s="96">
        <v>660</v>
      </c>
      <c r="O177" s="97" t="s">
        <v>124</v>
      </c>
      <c r="P177" s="83" t="s">
        <v>109</v>
      </c>
      <c r="Q177" s="81" t="s">
        <v>531</v>
      </c>
    </row>
    <row r="178" spans="1:17">
      <c r="A178" s="81" t="s">
        <v>677</v>
      </c>
      <c r="B178" s="101" t="s">
        <v>833</v>
      </c>
      <c r="C178" s="82" t="s">
        <v>637</v>
      </c>
      <c r="D178" s="82" t="s">
        <v>832</v>
      </c>
      <c r="E178" s="83" t="s">
        <v>606</v>
      </c>
      <c r="F178" s="83" t="s">
        <v>535</v>
      </c>
      <c r="G178" s="83"/>
      <c r="H178" s="84">
        <v>0.256944444444444</v>
      </c>
      <c r="I178" s="93">
        <v>0.263888888888889</v>
      </c>
      <c r="J178" s="94">
        <v>0.00694444444444444</v>
      </c>
      <c r="K178" s="94"/>
      <c r="L178" s="95">
        <v>0.00107142857142857</v>
      </c>
      <c r="M178" s="96">
        <v>1.8</v>
      </c>
      <c r="N178" s="96">
        <v>661.8</v>
      </c>
      <c r="O178" s="97" t="s">
        <v>124</v>
      </c>
      <c r="P178" s="83" t="s">
        <v>109</v>
      </c>
      <c r="Q178" s="81" t="s">
        <v>531</v>
      </c>
    </row>
    <row r="179" spans="1:17">
      <c r="A179" s="81" t="s">
        <v>677</v>
      </c>
      <c r="B179" s="101" t="s">
        <v>834</v>
      </c>
      <c r="C179" s="82" t="s">
        <v>637</v>
      </c>
      <c r="D179" s="82" t="s">
        <v>638</v>
      </c>
      <c r="E179" s="83" t="s">
        <v>529</v>
      </c>
      <c r="F179" s="83"/>
      <c r="G179" s="83" t="s">
        <v>530</v>
      </c>
      <c r="H179" s="84">
        <v>0.652777777777778</v>
      </c>
      <c r="I179" s="93">
        <v>0.680555555555556</v>
      </c>
      <c r="J179" s="94">
        <v>0.0277777777777778</v>
      </c>
      <c r="K179" s="94"/>
      <c r="L179" s="95">
        <v>0.0018452380952381</v>
      </c>
      <c r="M179" s="96">
        <v>3.1</v>
      </c>
      <c r="N179" s="96">
        <v>3.1</v>
      </c>
      <c r="O179" s="97" t="s">
        <v>835</v>
      </c>
      <c r="P179" s="83" t="s">
        <v>109</v>
      </c>
      <c r="Q179" s="81" t="s">
        <v>609</v>
      </c>
    </row>
    <row r="180" spans="1:17">
      <c r="A180" s="81" t="s">
        <v>677</v>
      </c>
      <c r="B180" s="101" t="s">
        <v>148</v>
      </c>
      <c r="C180" s="82" t="s">
        <v>637</v>
      </c>
      <c r="D180" s="82" t="s">
        <v>836</v>
      </c>
      <c r="E180" s="83" t="s">
        <v>529</v>
      </c>
      <c r="F180" s="83" t="s">
        <v>535</v>
      </c>
      <c r="G180" s="83" t="s">
        <v>530</v>
      </c>
      <c r="H180" s="84">
        <v>0.916952054794521</v>
      </c>
      <c r="I180" s="93">
        <v>0.930840943683409</v>
      </c>
      <c r="J180" s="94">
        <v>0.0138888888888889</v>
      </c>
      <c r="K180" s="94"/>
      <c r="L180" s="95">
        <v>0.0605555555555556</v>
      </c>
      <c r="M180" s="96">
        <v>107</v>
      </c>
      <c r="N180" s="96">
        <v>107</v>
      </c>
      <c r="O180" s="97" t="s">
        <v>837</v>
      </c>
      <c r="P180" s="83" t="s">
        <v>109</v>
      </c>
      <c r="Q180" s="81" t="s">
        <v>531</v>
      </c>
    </row>
    <row r="181" spans="1:17">
      <c r="A181" s="81" t="s">
        <v>677</v>
      </c>
      <c r="B181" s="101" t="s">
        <v>833</v>
      </c>
      <c r="C181" s="82" t="s">
        <v>555</v>
      </c>
      <c r="D181" s="82" t="s">
        <v>652</v>
      </c>
      <c r="E181" s="83" t="s">
        <v>606</v>
      </c>
      <c r="F181" s="83" t="s">
        <v>535</v>
      </c>
      <c r="G181" s="83" t="s">
        <v>530</v>
      </c>
      <c r="H181" s="84">
        <v>1.5421626984127</v>
      </c>
      <c r="I181" s="93">
        <v>0.583333333333333</v>
      </c>
      <c r="J181" s="94">
        <v>0.0416666666666667</v>
      </c>
      <c r="K181" s="94"/>
      <c r="L181" s="95">
        <v>0.430357142857143</v>
      </c>
      <c r="M181" s="96">
        <v>723</v>
      </c>
      <c r="N181" s="96">
        <v>936</v>
      </c>
      <c r="O181" s="97" t="s">
        <v>838</v>
      </c>
      <c r="P181" s="83" t="s">
        <v>109</v>
      </c>
      <c r="Q181" s="81" t="s">
        <v>572</v>
      </c>
    </row>
    <row r="182" spans="1:17">
      <c r="A182" s="81" t="s">
        <v>677</v>
      </c>
      <c r="B182" s="101" t="s">
        <v>833</v>
      </c>
      <c r="C182" s="82" t="s">
        <v>555</v>
      </c>
      <c r="D182" s="82" t="s">
        <v>654</v>
      </c>
      <c r="E182" s="83" t="s">
        <v>578</v>
      </c>
      <c r="F182" s="83" t="s">
        <v>530</v>
      </c>
      <c r="G182" s="83"/>
      <c r="H182" s="84">
        <v>0.583333333333333</v>
      </c>
      <c r="I182" s="93">
        <v>0.625</v>
      </c>
      <c r="J182" s="94">
        <v>0.0416666666666667</v>
      </c>
      <c r="K182" s="94"/>
      <c r="L182" s="95">
        <v>5.95238095238095e-5</v>
      </c>
      <c r="M182" s="96"/>
      <c r="N182" s="83"/>
      <c r="O182" s="97" t="s">
        <v>838</v>
      </c>
      <c r="P182" s="83" t="s">
        <v>109</v>
      </c>
      <c r="Q182" s="81" t="s">
        <v>572</v>
      </c>
    </row>
    <row r="183" spans="1:17">
      <c r="A183" s="81" t="s">
        <v>677</v>
      </c>
      <c r="B183" s="101" t="s">
        <v>839</v>
      </c>
      <c r="C183" s="82" t="s">
        <v>555</v>
      </c>
      <c r="D183" s="82" t="s">
        <v>654</v>
      </c>
      <c r="E183" s="83" t="s">
        <v>578</v>
      </c>
      <c r="F183" s="83" t="s">
        <v>535</v>
      </c>
      <c r="G183" s="83" t="s">
        <v>530</v>
      </c>
      <c r="H183" s="84">
        <v>2.31289682539683</v>
      </c>
      <c r="I183" s="93">
        <v>0.354166666666667</v>
      </c>
      <c r="J183" s="94">
        <v>0.0416666666666667</v>
      </c>
      <c r="K183" s="94"/>
      <c r="L183" s="95">
        <v>0.126190476190476</v>
      </c>
      <c r="M183" s="96">
        <v>212</v>
      </c>
      <c r="N183" s="96">
        <v>939</v>
      </c>
      <c r="O183" s="97" t="s">
        <v>840</v>
      </c>
      <c r="P183" s="83" t="s">
        <v>414</v>
      </c>
      <c r="Q183" s="81" t="s">
        <v>572</v>
      </c>
    </row>
    <row r="184" spans="1:17">
      <c r="A184" s="81" t="s">
        <v>677</v>
      </c>
      <c r="B184" s="101" t="s">
        <v>148</v>
      </c>
      <c r="C184" s="82" t="s">
        <v>569</v>
      </c>
      <c r="D184" s="82" t="s">
        <v>841</v>
      </c>
      <c r="E184" s="83" t="s">
        <v>529</v>
      </c>
      <c r="F184" s="83" t="s">
        <v>535</v>
      </c>
      <c r="G184" s="83" t="s">
        <v>530</v>
      </c>
      <c r="H184" s="84">
        <v>0.270833333333333</v>
      </c>
      <c r="I184" s="93">
        <v>0.333333333333333</v>
      </c>
      <c r="J184" s="94">
        <v>0.0208333333333333</v>
      </c>
      <c r="K184" s="94"/>
      <c r="L184" s="95">
        <v>0.0678571428571429</v>
      </c>
      <c r="M184" s="96">
        <v>114</v>
      </c>
      <c r="N184" s="83">
        <v>114</v>
      </c>
      <c r="O184" s="97" t="s">
        <v>837</v>
      </c>
      <c r="P184" s="83" t="s">
        <v>109</v>
      </c>
      <c r="Q184" s="81" t="s">
        <v>592</v>
      </c>
    </row>
    <row r="185" spans="1:17">
      <c r="A185" s="81" t="s">
        <v>677</v>
      </c>
      <c r="B185" s="101" t="s">
        <v>163</v>
      </c>
      <c r="C185" s="82" t="s">
        <v>569</v>
      </c>
      <c r="D185" s="82" t="s">
        <v>841</v>
      </c>
      <c r="E185" s="83" t="s">
        <v>529</v>
      </c>
      <c r="F185" s="83" t="s">
        <v>535</v>
      </c>
      <c r="G185" s="83" t="s">
        <v>530</v>
      </c>
      <c r="H185" s="84">
        <v>0.4375</v>
      </c>
      <c r="I185" s="93">
        <v>0.458333333333333</v>
      </c>
      <c r="J185" s="94">
        <v>0.0416666666666667</v>
      </c>
      <c r="K185" s="94"/>
      <c r="L185" s="95">
        <v>0.10479797979798</v>
      </c>
      <c r="M185" s="96">
        <v>166</v>
      </c>
      <c r="N185" s="96">
        <v>280</v>
      </c>
      <c r="O185" s="97" t="s">
        <v>842</v>
      </c>
      <c r="P185" s="83" t="s">
        <v>109</v>
      </c>
      <c r="Q185" s="81" t="s">
        <v>592</v>
      </c>
    </row>
    <row r="186" spans="1:17">
      <c r="A186" s="81" t="s">
        <v>677</v>
      </c>
      <c r="B186" s="101" t="s">
        <v>148</v>
      </c>
      <c r="C186" s="82" t="s">
        <v>569</v>
      </c>
      <c r="D186" s="82" t="s">
        <v>841</v>
      </c>
      <c r="E186" s="83" t="s">
        <v>529</v>
      </c>
      <c r="F186" s="83" t="s">
        <v>535</v>
      </c>
      <c r="G186" s="83" t="s">
        <v>530</v>
      </c>
      <c r="H186" s="84">
        <v>0.5625</v>
      </c>
      <c r="I186" s="93">
        <v>0.583333333333333</v>
      </c>
      <c r="J186" s="94">
        <v>0.03125</v>
      </c>
      <c r="K186" s="94"/>
      <c r="L186" s="95">
        <v>0.10479797979798</v>
      </c>
      <c r="M186" s="96">
        <v>166</v>
      </c>
      <c r="N186" s="96">
        <v>446</v>
      </c>
      <c r="O186" s="97" t="s">
        <v>837</v>
      </c>
      <c r="P186" s="83" t="s">
        <v>109</v>
      </c>
      <c r="Q186" s="81" t="s">
        <v>592</v>
      </c>
    </row>
    <row r="187" spans="1:17">
      <c r="A187" s="81" t="s">
        <v>677</v>
      </c>
      <c r="B187" s="101" t="s">
        <v>148</v>
      </c>
      <c r="C187" s="82" t="s">
        <v>569</v>
      </c>
      <c r="D187" s="82" t="s">
        <v>843</v>
      </c>
      <c r="E187" s="83" t="s">
        <v>529</v>
      </c>
      <c r="F187" s="83" t="s">
        <v>535</v>
      </c>
      <c r="G187" s="83" t="s">
        <v>530</v>
      </c>
      <c r="H187" s="84">
        <v>0.139108796296296</v>
      </c>
      <c r="I187" s="93">
        <v>0.159722222222222</v>
      </c>
      <c r="J187" s="94">
        <v>0.0208333333333333</v>
      </c>
      <c r="K187" s="94"/>
      <c r="L187" s="95">
        <v>0.0766129032258065</v>
      </c>
      <c r="M187" s="96">
        <v>114</v>
      </c>
      <c r="N187" s="96">
        <v>114</v>
      </c>
      <c r="O187" s="97" t="s">
        <v>837</v>
      </c>
      <c r="P187" s="83" t="s">
        <v>109</v>
      </c>
      <c r="Q187" s="81" t="s">
        <v>592</v>
      </c>
    </row>
    <row r="188" spans="1:17">
      <c r="A188" s="81" t="s">
        <v>677</v>
      </c>
      <c r="B188" s="101" t="s">
        <v>778</v>
      </c>
      <c r="C188" s="82" t="s">
        <v>569</v>
      </c>
      <c r="D188" s="82" t="s">
        <v>843</v>
      </c>
      <c r="E188" s="83" t="s">
        <v>529</v>
      </c>
      <c r="F188" s="83" t="s">
        <v>535</v>
      </c>
      <c r="G188" s="83" t="s">
        <v>530</v>
      </c>
      <c r="H188" s="84">
        <v>0.292002314814815</v>
      </c>
      <c r="I188" s="93">
        <v>0.333668981481481</v>
      </c>
      <c r="J188" s="94">
        <v>0.0416666666666667</v>
      </c>
      <c r="K188" s="94"/>
      <c r="L188" s="95">
        <v>0.173717948717949</v>
      </c>
      <c r="M188" s="96">
        <v>271</v>
      </c>
      <c r="N188" s="96">
        <v>385</v>
      </c>
      <c r="O188" s="97" t="s">
        <v>844</v>
      </c>
      <c r="P188" s="83" t="s">
        <v>109</v>
      </c>
      <c r="Q188" s="81" t="s">
        <v>592</v>
      </c>
    </row>
    <row r="189" spans="1:17">
      <c r="A189" s="81" t="s">
        <v>677</v>
      </c>
      <c r="B189" s="101" t="s">
        <v>148</v>
      </c>
      <c r="C189" s="82" t="s">
        <v>569</v>
      </c>
      <c r="D189" s="82" t="s">
        <v>843</v>
      </c>
      <c r="E189" s="83" t="s">
        <v>529</v>
      </c>
      <c r="F189" s="83" t="s">
        <v>535</v>
      </c>
      <c r="G189" s="83" t="s">
        <v>530</v>
      </c>
      <c r="H189" s="84">
        <v>0.604836271997956</v>
      </c>
      <c r="I189" s="93">
        <v>0.663864049775734</v>
      </c>
      <c r="J189" s="94">
        <v>0.0590277777777778</v>
      </c>
      <c r="K189" s="94"/>
      <c r="L189" s="95">
        <v>0.229505420054201</v>
      </c>
      <c r="M189" s="96">
        <v>271</v>
      </c>
      <c r="N189" s="96">
        <v>656</v>
      </c>
      <c r="O189" s="97" t="s">
        <v>837</v>
      </c>
      <c r="P189" s="83" t="s">
        <v>109</v>
      </c>
      <c r="Q189" s="81" t="s">
        <v>592</v>
      </c>
    </row>
    <row r="190" spans="1:17">
      <c r="A190" s="81" t="s">
        <v>677</v>
      </c>
      <c r="B190" s="101" t="s">
        <v>135</v>
      </c>
      <c r="C190" s="82" t="s">
        <v>569</v>
      </c>
      <c r="D190" s="82" t="s">
        <v>845</v>
      </c>
      <c r="E190" s="83" t="s">
        <v>578</v>
      </c>
      <c r="F190" s="83" t="s">
        <v>535</v>
      </c>
      <c r="G190" s="83" t="s">
        <v>530</v>
      </c>
      <c r="H190" s="84">
        <v>0.333333333333333</v>
      </c>
      <c r="I190" s="93">
        <v>0.47790404040404</v>
      </c>
      <c r="J190" s="94">
        <v>0.208333333333333</v>
      </c>
      <c r="K190" s="94"/>
      <c r="L190" s="95">
        <v>0.266666666666667</v>
      </c>
      <c r="M190" s="96">
        <v>449</v>
      </c>
      <c r="N190" s="96">
        <v>449</v>
      </c>
      <c r="O190" s="97" t="s">
        <v>768</v>
      </c>
      <c r="P190" s="83" t="s">
        <v>109</v>
      </c>
      <c r="Q190" s="81" t="s">
        <v>572</v>
      </c>
    </row>
    <row r="191" spans="1:17">
      <c r="A191" s="81" t="s">
        <v>677</v>
      </c>
      <c r="B191" s="101" t="s">
        <v>135</v>
      </c>
      <c r="C191" s="82" t="s">
        <v>569</v>
      </c>
      <c r="D191" s="82" t="s">
        <v>846</v>
      </c>
      <c r="E191" s="83" t="s">
        <v>574</v>
      </c>
      <c r="F191" s="83" t="s">
        <v>535</v>
      </c>
      <c r="G191" s="83" t="s">
        <v>530</v>
      </c>
      <c r="H191" s="84">
        <v>0.333333333333333</v>
      </c>
      <c r="I191" s="93">
        <v>0.416666666666667</v>
      </c>
      <c r="J191" s="94">
        <v>0.0833333333333333</v>
      </c>
      <c r="K191" s="94"/>
      <c r="L191" s="95">
        <v>0.266666666666667</v>
      </c>
      <c r="M191" s="96">
        <v>449</v>
      </c>
      <c r="N191" s="96">
        <v>449</v>
      </c>
      <c r="O191" s="97" t="s">
        <v>768</v>
      </c>
      <c r="P191" s="83" t="s">
        <v>109</v>
      </c>
      <c r="Q191" s="81" t="s">
        <v>572</v>
      </c>
    </row>
    <row r="192" spans="1:17">
      <c r="A192" s="81" t="s">
        <v>677</v>
      </c>
      <c r="B192" s="101" t="s">
        <v>107</v>
      </c>
      <c r="C192" s="82" t="s">
        <v>569</v>
      </c>
      <c r="D192" s="82" t="s">
        <v>847</v>
      </c>
      <c r="E192" s="83" t="s">
        <v>529</v>
      </c>
      <c r="F192" s="83" t="s">
        <v>535</v>
      </c>
      <c r="G192" s="83" t="s">
        <v>530</v>
      </c>
      <c r="H192" s="84">
        <v>0.208333333333333</v>
      </c>
      <c r="I192" s="93">
        <v>0.25</v>
      </c>
      <c r="J192" s="94">
        <v>0.0416666666666667</v>
      </c>
      <c r="K192" s="94"/>
      <c r="L192" s="95">
        <v>0.0904761904761905</v>
      </c>
      <c r="M192" s="96">
        <v>91</v>
      </c>
      <c r="N192" s="96">
        <v>91</v>
      </c>
      <c r="O192" s="97" t="s">
        <v>108</v>
      </c>
      <c r="P192" s="83" t="s">
        <v>109</v>
      </c>
      <c r="Q192" s="81" t="s">
        <v>848</v>
      </c>
    </row>
    <row r="193" spans="1:17">
      <c r="A193" s="81" t="s">
        <v>677</v>
      </c>
      <c r="B193" s="101" t="s">
        <v>107</v>
      </c>
      <c r="C193" s="82" t="s">
        <v>569</v>
      </c>
      <c r="D193" s="82" t="s">
        <v>849</v>
      </c>
      <c r="E193" s="83" t="s">
        <v>673</v>
      </c>
      <c r="F193" s="83"/>
      <c r="G193" s="83" t="s">
        <v>530</v>
      </c>
      <c r="H193" s="84">
        <v>0.625</v>
      </c>
      <c r="I193" s="93" t="s">
        <v>850</v>
      </c>
      <c r="J193" s="94">
        <v>0.0416666666666667</v>
      </c>
      <c r="K193" s="94"/>
      <c r="L193" s="95"/>
      <c r="M193" s="96"/>
      <c r="N193" s="83"/>
      <c r="O193" s="97" t="s">
        <v>851</v>
      </c>
      <c r="P193" s="83" t="s">
        <v>109</v>
      </c>
      <c r="Q193" s="81" t="s">
        <v>848</v>
      </c>
    </row>
    <row r="194" spans="1:17">
      <c r="A194" s="81" t="s">
        <v>677</v>
      </c>
      <c r="B194" s="101" t="s">
        <v>122</v>
      </c>
      <c r="C194" s="82" t="s">
        <v>569</v>
      </c>
      <c r="D194" s="82" t="s">
        <v>852</v>
      </c>
      <c r="E194" s="83" t="s">
        <v>529</v>
      </c>
      <c r="F194" s="83" t="s">
        <v>535</v>
      </c>
      <c r="G194" s="83"/>
      <c r="H194" s="84">
        <v>0.583902634170359</v>
      </c>
      <c r="I194" s="93">
        <v>0.674180411948137</v>
      </c>
      <c r="J194" s="94">
        <v>0.0902777777777778</v>
      </c>
      <c r="K194" s="94"/>
      <c r="L194" s="95">
        <v>0.406819300837026</v>
      </c>
      <c r="M194" s="96">
        <v>661</v>
      </c>
      <c r="N194" s="96">
        <v>661</v>
      </c>
      <c r="O194" s="97" t="s">
        <v>124</v>
      </c>
      <c r="P194" s="83" t="s">
        <v>109</v>
      </c>
      <c r="Q194" s="81" t="s">
        <v>572</v>
      </c>
    </row>
    <row r="195" spans="1:17">
      <c r="A195" s="81" t="s">
        <v>677</v>
      </c>
      <c r="B195" s="101" t="s">
        <v>122</v>
      </c>
      <c r="C195" s="82" t="s">
        <v>569</v>
      </c>
      <c r="D195" s="82" t="s">
        <v>852</v>
      </c>
      <c r="E195" s="83" t="s">
        <v>529</v>
      </c>
      <c r="F195" s="83"/>
      <c r="G195" s="83" t="s">
        <v>530</v>
      </c>
      <c r="H195" s="84">
        <v>0.674180411948137</v>
      </c>
      <c r="I195" s="93">
        <v>0.690152634170359</v>
      </c>
      <c r="J195" s="94">
        <v>0.0159722222222222</v>
      </c>
      <c r="K195" s="94"/>
      <c r="L195" s="95"/>
      <c r="M195" s="96"/>
      <c r="N195" s="96"/>
      <c r="O195" s="97" t="s">
        <v>124</v>
      </c>
      <c r="P195" s="83" t="s">
        <v>109</v>
      </c>
      <c r="Q195" s="81" t="s">
        <v>572</v>
      </c>
    </row>
    <row r="196" spans="1:17">
      <c r="A196" s="81" t="s">
        <v>677</v>
      </c>
      <c r="B196" s="101" t="s">
        <v>122</v>
      </c>
      <c r="C196" s="82" t="s">
        <v>569</v>
      </c>
      <c r="D196" s="82" t="s">
        <v>853</v>
      </c>
      <c r="E196" s="83" t="s">
        <v>574</v>
      </c>
      <c r="F196" s="83" t="s">
        <v>535</v>
      </c>
      <c r="G196" s="83"/>
      <c r="H196" s="84">
        <v>0.916666666666667</v>
      </c>
      <c r="I196" s="93">
        <v>0.958333333333333</v>
      </c>
      <c r="J196" s="94">
        <v>0.0416666666666667</v>
      </c>
      <c r="K196" s="94"/>
      <c r="L196" s="95">
        <v>0.393452380952381</v>
      </c>
      <c r="M196" s="96">
        <v>661</v>
      </c>
      <c r="N196" s="96">
        <v>661</v>
      </c>
      <c r="O196" s="97" t="s">
        <v>124</v>
      </c>
      <c r="P196" s="83" t="s">
        <v>109</v>
      </c>
      <c r="Q196" s="81" t="s">
        <v>572</v>
      </c>
    </row>
    <row r="197" spans="1:17">
      <c r="A197" s="81" t="s">
        <v>677</v>
      </c>
      <c r="B197" s="101" t="s">
        <v>163</v>
      </c>
      <c r="C197" s="82" t="s">
        <v>569</v>
      </c>
      <c r="D197" s="82" t="s">
        <v>854</v>
      </c>
      <c r="E197" s="83" t="s">
        <v>529</v>
      </c>
      <c r="F197" s="83" t="s">
        <v>535</v>
      </c>
      <c r="G197" s="83"/>
      <c r="H197" s="84">
        <v>0.3125</v>
      </c>
      <c r="I197" s="93">
        <v>0.354166666666667</v>
      </c>
      <c r="J197" s="94">
        <v>0.0416666666666667</v>
      </c>
      <c r="K197" s="94"/>
      <c r="L197" s="95">
        <v>0.151785714285714</v>
      </c>
      <c r="M197" s="96">
        <v>267</v>
      </c>
      <c r="N197" s="96">
        <v>267</v>
      </c>
      <c r="O197" s="97" t="s">
        <v>842</v>
      </c>
      <c r="P197" s="83" t="s">
        <v>109</v>
      </c>
      <c r="Q197" s="81" t="s">
        <v>592</v>
      </c>
    </row>
    <row r="198" spans="1:17">
      <c r="A198" s="81" t="s">
        <v>677</v>
      </c>
      <c r="B198" s="101" t="s">
        <v>163</v>
      </c>
      <c r="C198" s="82" t="s">
        <v>569</v>
      </c>
      <c r="D198" s="82" t="s">
        <v>854</v>
      </c>
      <c r="E198" s="83" t="s">
        <v>529</v>
      </c>
      <c r="F198" s="83"/>
      <c r="G198" s="83" t="s">
        <v>530</v>
      </c>
      <c r="H198" s="84">
        <v>0.458333333333333</v>
      </c>
      <c r="I198" s="93">
        <v>0.520833333333333</v>
      </c>
      <c r="J198" s="94">
        <v>0.0625</v>
      </c>
      <c r="K198" s="94"/>
      <c r="L198" s="95">
        <v>5.95238095238095e-5</v>
      </c>
      <c r="M198" s="96"/>
      <c r="N198" s="96">
        <v>267</v>
      </c>
      <c r="O198" s="97" t="s">
        <v>842</v>
      </c>
      <c r="P198" s="83" t="s">
        <v>109</v>
      </c>
      <c r="Q198" s="81" t="s">
        <v>592</v>
      </c>
    </row>
    <row r="199" spans="1:17">
      <c r="A199" s="81" t="s">
        <v>677</v>
      </c>
      <c r="B199" s="101" t="s">
        <v>148</v>
      </c>
      <c r="C199" s="82" t="s">
        <v>569</v>
      </c>
      <c r="D199" s="82" t="s">
        <v>854</v>
      </c>
      <c r="E199" s="83" t="s">
        <v>529</v>
      </c>
      <c r="F199" s="83" t="s">
        <v>535</v>
      </c>
      <c r="G199" s="83" t="s">
        <v>530</v>
      </c>
      <c r="H199" s="84">
        <v>0.625</v>
      </c>
      <c r="I199" s="93">
        <v>0.645833333333333</v>
      </c>
      <c r="J199" s="94">
        <v>0.0208333333333333</v>
      </c>
      <c r="K199" s="94"/>
      <c r="L199" s="95">
        <v>0.0994047619047619</v>
      </c>
      <c r="M199" s="96">
        <v>177</v>
      </c>
      <c r="N199" s="96">
        <v>444</v>
      </c>
      <c r="O199" s="97" t="s">
        <v>837</v>
      </c>
      <c r="P199" s="83" t="s">
        <v>109</v>
      </c>
      <c r="Q199" s="81" t="s">
        <v>592</v>
      </c>
    </row>
    <row r="200" spans="1:17">
      <c r="A200" s="81" t="s">
        <v>677</v>
      </c>
      <c r="B200" s="101" t="s">
        <v>163</v>
      </c>
      <c r="C200" s="82" t="s">
        <v>569</v>
      </c>
      <c r="D200" s="82" t="s">
        <v>855</v>
      </c>
      <c r="E200" s="83" t="s">
        <v>574</v>
      </c>
      <c r="F200" s="83" t="s">
        <v>535</v>
      </c>
      <c r="G200" s="83"/>
      <c r="H200" s="84">
        <v>0.3125</v>
      </c>
      <c r="I200" s="93">
        <v>0.354166666666667</v>
      </c>
      <c r="J200" s="94">
        <v>0.0416666666666667</v>
      </c>
      <c r="K200" s="94"/>
      <c r="L200" s="95">
        <v>0.151785714285714</v>
      </c>
      <c r="M200" s="96">
        <v>267</v>
      </c>
      <c r="N200" s="96">
        <v>267</v>
      </c>
      <c r="O200" s="97" t="s">
        <v>842</v>
      </c>
      <c r="P200" s="83" t="s">
        <v>109</v>
      </c>
      <c r="Q200" s="81" t="s">
        <v>592</v>
      </c>
    </row>
    <row r="201" spans="1:17">
      <c r="A201" s="81" t="s">
        <v>677</v>
      </c>
      <c r="B201" s="101" t="s">
        <v>163</v>
      </c>
      <c r="C201" s="82" t="s">
        <v>569</v>
      </c>
      <c r="D201" s="82" t="s">
        <v>855</v>
      </c>
      <c r="E201" s="83" t="s">
        <v>574</v>
      </c>
      <c r="F201" s="83"/>
      <c r="G201" s="83" t="s">
        <v>530</v>
      </c>
      <c r="H201" s="84">
        <v>0.458333333333333</v>
      </c>
      <c r="I201" s="93">
        <v>0.520833333333333</v>
      </c>
      <c r="J201" s="94">
        <v>0.0625</v>
      </c>
      <c r="K201" s="94"/>
      <c r="L201" s="95">
        <v>5.95238095238095e-5</v>
      </c>
      <c r="M201" s="96"/>
      <c r="N201" s="96">
        <v>267</v>
      </c>
      <c r="O201" s="97" t="s">
        <v>842</v>
      </c>
      <c r="P201" s="83" t="s">
        <v>109</v>
      </c>
      <c r="Q201" s="81" t="s">
        <v>592</v>
      </c>
    </row>
    <row r="202" spans="1:17">
      <c r="A202" s="81" t="s">
        <v>677</v>
      </c>
      <c r="B202" s="101" t="s">
        <v>148</v>
      </c>
      <c r="C202" s="82" t="s">
        <v>569</v>
      </c>
      <c r="D202" s="82" t="s">
        <v>855</v>
      </c>
      <c r="E202" s="83" t="s">
        <v>574</v>
      </c>
      <c r="F202" s="83" t="s">
        <v>535</v>
      </c>
      <c r="G202" s="83" t="s">
        <v>530</v>
      </c>
      <c r="H202" s="84">
        <v>0.625</v>
      </c>
      <c r="I202" s="93">
        <v>0.645833333333333</v>
      </c>
      <c r="J202" s="94">
        <v>0.0208333333333333</v>
      </c>
      <c r="K202" s="94"/>
      <c r="L202" s="95">
        <v>0.0994047619047619</v>
      </c>
      <c r="M202" s="96">
        <v>177</v>
      </c>
      <c r="N202" s="96">
        <v>444</v>
      </c>
      <c r="O202" s="97" t="s">
        <v>837</v>
      </c>
      <c r="P202" s="83" t="s">
        <v>109</v>
      </c>
      <c r="Q202" s="81" t="s">
        <v>592</v>
      </c>
    </row>
    <row r="203" spans="1:17">
      <c r="A203" s="81" t="s">
        <v>677</v>
      </c>
      <c r="B203" s="101" t="s">
        <v>174</v>
      </c>
      <c r="C203" s="82" t="s">
        <v>569</v>
      </c>
      <c r="D203" s="82" t="s">
        <v>856</v>
      </c>
      <c r="E203" s="83" t="s">
        <v>529</v>
      </c>
      <c r="F203" s="83" t="s">
        <v>535</v>
      </c>
      <c r="G203" s="83"/>
      <c r="H203" s="84">
        <v>0.5625</v>
      </c>
      <c r="I203" s="93">
        <v>0.5625</v>
      </c>
      <c r="J203" s="94">
        <v>0</v>
      </c>
      <c r="K203" s="94"/>
      <c r="L203" s="95">
        <v>0.00363095238095238</v>
      </c>
      <c r="M203" s="96">
        <v>6.1</v>
      </c>
      <c r="N203" s="96">
        <v>624.1</v>
      </c>
      <c r="O203" s="97" t="s">
        <v>177</v>
      </c>
      <c r="P203" s="83" t="s">
        <v>800</v>
      </c>
      <c r="Q203" s="81" t="s">
        <v>572</v>
      </c>
    </row>
    <row r="204" spans="1:17">
      <c r="A204" s="81" t="s">
        <v>677</v>
      </c>
      <c r="B204" s="101" t="s">
        <v>174</v>
      </c>
      <c r="C204" s="82" t="s">
        <v>569</v>
      </c>
      <c r="D204" s="82" t="s">
        <v>856</v>
      </c>
      <c r="E204" s="83" t="s">
        <v>529</v>
      </c>
      <c r="F204" s="83"/>
      <c r="G204" s="83" t="s">
        <v>530</v>
      </c>
      <c r="H204" s="84">
        <v>0.708333333333333</v>
      </c>
      <c r="I204" s="93">
        <v>0.75</v>
      </c>
      <c r="J204" s="94">
        <v>0.0416666666666667</v>
      </c>
      <c r="K204" s="94"/>
      <c r="L204" s="95">
        <v>5.95238095238095e-5</v>
      </c>
      <c r="M204" s="96">
        <v>0.1</v>
      </c>
      <c r="N204" s="96">
        <v>624.3</v>
      </c>
      <c r="O204" s="97" t="s">
        <v>177</v>
      </c>
      <c r="P204" s="83" t="s">
        <v>800</v>
      </c>
      <c r="Q204" s="81" t="s">
        <v>572</v>
      </c>
    </row>
    <row r="205" spans="1:17">
      <c r="A205" s="81" t="s">
        <v>677</v>
      </c>
      <c r="B205" s="101" t="s">
        <v>122</v>
      </c>
      <c r="C205" s="82" t="s">
        <v>569</v>
      </c>
      <c r="D205" s="82" t="s">
        <v>857</v>
      </c>
      <c r="E205" s="83" t="s">
        <v>578</v>
      </c>
      <c r="F205" s="83" t="s">
        <v>535</v>
      </c>
      <c r="G205" s="83" t="s">
        <v>530</v>
      </c>
      <c r="H205" s="84">
        <v>0.583761574074074</v>
      </c>
      <c r="I205" s="93">
        <v>0.625428240740741</v>
      </c>
      <c r="J205" s="94">
        <v>0.0416666666666667</v>
      </c>
      <c r="K205" s="94"/>
      <c r="L205" s="95">
        <v>0.397619047619048</v>
      </c>
      <c r="M205" s="96">
        <v>661</v>
      </c>
      <c r="N205" s="96">
        <v>661</v>
      </c>
      <c r="O205" s="97" t="s">
        <v>124</v>
      </c>
      <c r="P205" s="83" t="s">
        <v>109</v>
      </c>
      <c r="Q205" s="81" t="s">
        <v>572</v>
      </c>
    </row>
    <row r="206" spans="1:17">
      <c r="A206" s="81" t="s">
        <v>677</v>
      </c>
      <c r="B206" s="101" t="s">
        <v>122</v>
      </c>
      <c r="C206" s="82" t="s">
        <v>671</v>
      </c>
      <c r="D206" s="82" t="s">
        <v>858</v>
      </c>
      <c r="E206" s="83" t="s">
        <v>735</v>
      </c>
      <c r="F206" s="83"/>
      <c r="G206" s="83"/>
      <c r="H206" s="84">
        <v>0.114583333333333</v>
      </c>
      <c r="I206" s="93">
        <v>0.125</v>
      </c>
      <c r="J206" s="94">
        <v>0.0104166666666667</v>
      </c>
      <c r="K206" s="94"/>
      <c r="L206" s="95"/>
      <c r="M206" s="96"/>
      <c r="N206" s="83"/>
      <c r="O206" s="97" t="s">
        <v>124</v>
      </c>
      <c r="P206" s="83" t="s">
        <v>109</v>
      </c>
      <c r="Q206" s="81" t="s">
        <v>714</v>
      </c>
    </row>
    <row r="207" spans="1:17">
      <c r="A207" s="81" t="s">
        <v>677</v>
      </c>
      <c r="B207" s="101" t="s">
        <v>174</v>
      </c>
      <c r="C207" s="82" t="s">
        <v>671</v>
      </c>
      <c r="D207" s="82" t="s">
        <v>858</v>
      </c>
      <c r="E207" s="83" t="s">
        <v>735</v>
      </c>
      <c r="F207" s="83"/>
      <c r="G207" s="83"/>
      <c r="H207" s="84">
        <v>0.323943661971831</v>
      </c>
      <c r="I207" s="93">
        <v>0.330888106416275</v>
      </c>
      <c r="J207" s="94">
        <v>0.00694444444444444</v>
      </c>
      <c r="K207" s="94"/>
      <c r="L207" s="95">
        <v>0.198943661971831</v>
      </c>
      <c r="M207" s="96">
        <v>339</v>
      </c>
      <c r="N207" s="83">
        <v>339</v>
      </c>
      <c r="O207" s="97" t="s">
        <v>819</v>
      </c>
      <c r="P207" s="83" t="s">
        <v>176</v>
      </c>
      <c r="Q207" s="81" t="s">
        <v>714</v>
      </c>
    </row>
    <row r="208" spans="1:17">
      <c r="A208" s="81" t="s">
        <v>677</v>
      </c>
      <c r="B208" s="101" t="s">
        <v>122</v>
      </c>
      <c r="C208" s="82" t="s">
        <v>671</v>
      </c>
      <c r="D208" s="82" t="s">
        <v>858</v>
      </c>
      <c r="E208" s="83" t="s">
        <v>578</v>
      </c>
      <c r="F208" s="83"/>
      <c r="G208" s="83"/>
      <c r="H208" s="84">
        <v>0.03125</v>
      </c>
      <c r="I208" s="93">
        <v>0.0763888888888889</v>
      </c>
      <c r="J208" s="94">
        <v>0.0451388888888889</v>
      </c>
      <c r="K208" s="94"/>
      <c r="L208" s="95"/>
      <c r="M208" s="96"/>
      <c r="N208" s="83"/>
      <c r="O208" s="97" t="s">
        <v>124</v>
      </c>
      <c r="P208" s="83" t="s">
        <v>109</v>
      </c>
      <c r="Q208" s="81" t="s">
        <v>714</v>
      </c>
    </row>
    <row r="209" spans="1:17">
      <c r="A209" s="81" t="s">
        <v>677</v>
      </c>
      <c r="B209" s="101" t="s">
        <v>174</v>
      </c>
      <c r="C209" s="82" t="s">
        <v>671</v>
      </c>
      <c r="D209" s="82" t="s">
        <v>858</v>
      </c>
      <c r="E209" s="83" t="s">
        <v>578</v>
      </c>
      <c r="F209" s="83"/>
      <c r="G209" s="83"/>
      <c r="H209" s="84">
        <v>0.27533255086072</v>
      </c>
      <c r="I209" s="93">
        <v>0.282276995305164</v>
      </c>
      <c r="J209" s="94">
        <v>0.00694444444444444</v>
      </c>
      <c r="K209" s="94"/>
      <c r="L209" s="95">
        <v>0.198943661971831</v>
      </c>
      <c r="M209" s="96">
        <v>339</v>
      </c>
      <c r="N209" s="83">
        <v>339</v>
      </c>
      <c r="O209" s="97" t="s">
        <v>819</v>
      </c>
      <c r="P209" s="83" t="s">
        <v>176</v>
      </c>
      <c r="Q209" s="81" t="s">
        <v>714</v>
      </c>
    </row>
    <row r="210" spans="1:17">
      <c r="A210" s="81" t="s">
        <v>677</v>
      </c>
      <c r="B210" s="101" t="s">
        <v>174</v>
      </c>
      <c r="C210" s="82" t="s">
        <v>671</v>
      </c>
      <c r="D210" s="82" t="s">
        <v>859</v>
      </c>
      <c r="E210" s="83" t="s">
        <v>735</v>
      </c>
      <c r="F210" s="83"/>
      <c r="G210" s="83"/>
      <c r="H210" s="84">
        <v>0.600694444444444</v>
      </c>
      <c r="I210" s="93">
        <v>0.604166666666667</v>
      </c>
      <c r="J210" s="94">
        <v>0.00347222222222222</v>
      </c>
      <c r="K210" s="94"/>
      <c r="L210" s="95">
        <v>0</v>
      </c>
      <c r="M210" s="96"/>
      <c r="N210" s="83"/>
      <c r="O210" s="97" t="s">
        <v>819</v>
      </c>
      <c r="P210" s="83" t="s">
        <v>176</v>
      </c>
      <c r="Q210" s="81" t="s">
        <v>714</v>
      </c>
    </row>
    <row r="211" spans="1:17">
      <c r="A211" s="81" t="s">
        <v>677</v>
      </c>
      <c r="B211" s="101" t="s">
        <v>122</v>
      </c>
      <c r="C211" s="82" t="s">
        <v>671</v>
      </c>
      <c r="D211" s="82" t="s">
        <v>859</v>
      </c>
      <c r="E211" s="83" t="s">
        <v>735</v>
      </c>
      <c r="F211" s="83"/>
      <c r="G211" s="83"/>
      <c r="H211" s="84">
        <v>0.803110328638498</v>
      </c>
      <c r="I211" s="93">
        <v>0.80658255086072</v>
      </c>
      <c r="J211" s="94">
        <v>0.00347222222222222</v>
      </c>
      <c r="K211" s="94"/>
      <c r="L211" s="95">
        <v>0.198943661971831</v>
      </c>
      <c r="M211" s="96">
        <v>339</v>
      </c>
      <c r="N211" s="83">
        <v>339</v>
      </c>
      <c r="O211" s="97" t="s">
        <v>124</v>
      </c>
      <c r="P211" s="83" t="s">
        <v>109</v>
      </c>
      <c r="Q211" s="81" t="s">
        <v>714</v>
      </c>
    </row>
    <row r="212" spans="1:17">
      <c r="A212" s="81" t="s">
        <v>677</v>
      </c>
      <c r="B212" s="101" t="s">
        <v>174</v>
      </c>
      <c r="C212" s="82" t="s">
        <v>671</v>
      </c>
      <c r="D212" s="82" t="s">
        <v>859</v>
      </c>
      <c r="E212" s="83" t="s">
        <v>578</v>
      </c>
      <c r="F212" s="83"/>
      <c r="G212" s="83"/>
      <c r="H212" s="84">
        <v>0.725694444444445</v>
      </c>
      <c r="I212" s="93">
        <v>0.729166666666667</v>
      </c>
      <c r="J212" s="94">
        <v>0.00347222222222222</v>
      </c>
      <c r="K212" s="94"/>
      <c r="L212" s="95">
        <v>0</v>
      </c>
      <c r="M212" s="96"/>
      <c r="N212" s="83"/>
      <c r="O212" s="97" t="s">
        <v>819</v>
      </c>
      <c r="P212" s="83" t="s">
        <v>176</v>
      </c>
      <c r="Q212" s="81" t="s">
        <v>714</v>
      </c>
    </row>
    <row r="213" spans="1:17">
      <c r="A213" s="81" t="s">
        <v>677</v>
      </c>
      <c r="B213" s="101" t="s">
        <v>122</v>
      </c>
      <c r="C213" s="82" t="s">
        <v>671</v>
      </c>
      <c r="D213" s="82" t="s">
        <v>859</v>
      </c>
      <c r="E213" s="83" t="s">
        <v>578</v>
      </c>
      <c r="F213" s="83"/>
      <c r="G213" s="83"/>
      <c r="H213" s="84">
        <v>0.928110328638498</v>
      </c>
      <c r="I213" s="93">
        <v>0.93158255086072</v>
      </c>
      <c r="J213" s="94">
        <v>0.00347222222222222</v>
      </c>
      <c r="K213" s="94"/>
      <c r="L213" s="95">
        <v>0.198943661971831</v>
      </c>
      <c r="M213" s="96">
        <v>339</v>
      </c>
      <c r="N213" s="83">
        <v>339</v>
      </c>
      <c r="O213" s="97" t="s">
        <v>124</v>
      </c>
      <c r="P213" s="83" t="s">
        <v>109</v>
      </c>
      <c r="Q213" s="81" t="s">
        <v>714</v>
      </c>
    </row>
  </sheetData>
  <autoFilter ref="A20:Q213">
    <extLst/>
  </autoFilter>
  <mergeCells count="5">
    <mergeCell ref="A1:H1"/>
    <mergeCell ref="J1:M1"/>
    <mergeCell ref="J8:K8"/>
    <mergeCell ref="A10:J10"/>
    <mergeCell ref="A19:Q1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3"/>
  <sheetViews>
    <sheetView workbookViewId="0">
      <selection activeCell="A1" sqref="$A1:$XFD1048576"/>
    </sheetView>
  </sheetViews>
  <sheetFormatPr defaultColWidth="9.14285714285714" defaultRowHeight="15"/>
  <cols>
    <col min="1" max="1" width="11.1428571428571" style="1" customWidth="1"/>
    <col min="2" max="2" width="9.14285714285714" style="1"/>
    <col min="3" max="3" width="21.8571428571429" style="1" customWidth="1"/>
    <col min="4" max="4" width="12.7142857142857" style="1" customWidth="1"/>
    <col min="5" max="5" width="14.8571428571429" style="1" customWidth="1"/>
    <col min="6" max="6" width="16.8571428571429" style="1" customWidth="1"/>
    <col min="7" max="7" width="12.4285714285714" style="1" customWidth="1"/>
    <col min="8" max="8" width="11.8571428571429" style="1" customWidth="1"/>
    <col min="9" max="9" width="30" style="1" customWidth="1"/>
    <col min="10" max="10" width="20.1428571428571" style="1" customWidth="1"/>
    <col min="11" max="11" width="22" style="1" customWidth="1"/>
    <col min="12" max="12" width="24" style="1" customWidth="1"/>
    <col min="13" max="16384" width="9.14285714285714" style="1"/>
  </cols>
  <sheetData>
    <row r="1" ht="45.75" spans="1:12">
      <c r="A1" s="2" t="s">
        <v>6</v>
      </c>
      <c r="B1" s="3"/>
      <c r="C1" s="3" t="s">
        <v>675</v>
      </c>
      <c r="D1" s="3" t="s">
        <v>860</v>
      </c>
      <c r="E1" s="3" t="s">
        <v>488</v>
      </c>
      <c r="F1" s="4" t="s">
        <v>861</v>
      </c>
      <c r="I1" s="39" t="s">
        <v>862</v>
      </c>
      <c r="J1" s="39" t="s">
        <v>862</v>
      </c>
      <c r="K1" s="40" t="s">
        <v>863</v>
      </c>
      <c r="L1" s="40" t="s">
        <v>864</v>
      </c>
    </row>
    <row r="2" ht="16.5" spans="1:12">
      <c r="A2" s="5" t="s">
        <v>42</v>
      </c>
      <c r="B2" s="6"/>
      <c r="C2" s="7">
        <v>105</v>
      </c>
      <c r="D2" s="8">
        <v>1</v>
      </c>
      <c r="E2" s="6">
        <v>16</v>
      </c>
      <c r="F2" s="9">
        <v>0.152380952380952</v>
      </c>
      <c r="I2" s="41">
        <v>1776543.7</v>
      </c>
      <c r="J2" s="42">
        <v>266481555</v>
      </c>
      <c r="K2" s="43">
        <v>1572786.52</v>
      </c>
      <c r="L2" s="44">
        <v>235917978</v>
      </c>
    </row>
    <row r="3" ht="15.75" spans="1:9">
      <c r="A3" s="10" t="s">
        <v>588</v>
      </c>
      <c r="C3" s="11">
        <v>212</v>
      </c>
      <c r="D3" s="12">
        <v>1</v>
      </c>
      <c r="E3" s="1">
        <v>62</v>
      </c>
      <c r="F3" s="13">
        <v>0.292452830188679</v>
      </c>
      <c r="I3" s="45"/>
    </row>
    <row r="4" ht="30" spans="1:11">
      <c r="A4" s="10" t="s">
        <v>596</v>
      </c>
      <c r="C4" s="11">
        <v>224</v>
      </c>
      <c r="D4" s="12">
        <v>1</v>
      </c>
      <c r="E4" s="1">
        <v>46</v>
      </c>
      <c r="F4" s="13">
        <v>0.205357142857143</v>
      </c>
      <c r="H4" s="14"/>
      <c r="I4" s="46" t="s">
        <v>865</v>
      </c>
      <c r="K4" s="46" t="s">
        <v>866</v>
      </c>
    </row>
    <row r="5" ht="15.75" spans="1:11">
      <c r="A5" s="15" t="s">
        <v>676</v>
      </c>
      <c r="B5" s="16"/>
      <c r="C5" s="17">
        <v>107</v>
      </c>
      <c r="D5" s="18">
        <v>1</v>
      </c>
      <c r="E5" s="16">
        <v>26</v>
      </c>
      <c r="F5" s="19">
        <v>0.242990654205607</v>
      </c>
      <c r="I5" s="47">
        <v>3197778660</v>
      </c>
      <c r="K5" s="47">
        <v>2831015736</v>
      </c>
    </row>
    <row r="6" ht="15.75" spans="1:6">
      <c r="A6" s="20" t="s">
        <v>867</v>
      </c>
      <c r="B6" s="21"/>
      <c r="C6" s="22">
        <v>648</v>
      </c>
      <c r="D6" s="23">
        <v>1</v>
      </c>
      <c r="E6" s="22">
        <v>150</v>
      </c>
      <c r="F6" s="24">
        <v>0.231481481481481</v>
      </c>
    </row>
    <row r="8" ht="15.75"/>
    <row r="9" ht="21.75" spans="1:11">
      <c r="A9" s="25" t="s">
        <v>868</v>
      </c>
      <c r="B9" s="26"/>
      <c r="C9" s="26"/>
      <c r="D9" s="26"/>
      <c r="E9" s="26"/>
      <c r="F9" s="26"/>
      <c r="G9" s="26"/>
      <c r="H9" s="27"/>
      <c r="I9" s="48" t="s">
        <v>869</v>
      </c>
      <c r="J9" s="49"/>
      <c r="K9" s="50"/>
    </row>
    <row r="10" ht="45" spans="1:11">
      <c r="A10" s="28" t="s">
        <v>6</v>
      </c>
      <c r="B10" s="29" t="s">
        <v>0</v>
      </c>
      <c r="C10" s="29" t="s">
        <v>1</v>
      </c>
      <c r="D10" s="29" t="s">
        <v>481</v>
      </c>
      <c r="E10" s="30" t="s">
        <v>675</v>
      </c>
      <c r="F10" s="28" t="s">
        <v>483</v>
      </c>
      <c r="G10" s="29" t="s">
        <v>484</v>
      </c>
      <c r="H10" s="30" t="s">
        <v>485</v>
      </c>
      <c r="I10" s="28" t="s">
        <v>486</v>
      </c>
      <c r="J10" s="29" t="s">
        <v>487</v>
      </c>
      <c r="K10" s="30" t="s">
        <v>488</v>
      </c>
    </row>
    <row r="11" spans="1:11">
      <c r="A11" s="10" t="s">
        <v>42</v>
      </c>
      <c r="B11" s="31" t="s">
        <v>37</v>
      </c>
      <c r="C11" s="32" t="s">
        <v>38</v>
      </c>
      <c r="D11" s="1">
        <v>53</v>
      </c>
      <c r="E11" s="33">
        <v>39</v>
      </c>
      <c r="F11" s="10">
        <v>18</v>
      </c>
      <c r="G11" s="1">
        <v>11</v>
      </c>
      <c r="H11" s="33">
        <v>10</v>
      </c>
      <c r="I11" s="51">
        <v>33</v>
      </c>
      <c r="J11" s="1">
        <v>6</v>
      </c>
      <c r="K11" s="33">
        <v>0</v>
      </c>
    </row>
    <row r="12" spans="1:11">
      <c r="A12" s="10" t="s">
        <v>42</v>
      </c>
      <c r="B12" s="31" t="s">
        <v>49</v>
      </c>
      <c r="C12" s="32" t="s">
        <v>50</v>
      </c>
      <c r="D12" s="1">
        <v>36</v>
      </c>
      <c r="E12" s="33">
        <v>28</v>
      </c>
      <c r="F12" s="10">
        <v>4</v>
      </c>
      <c r="G12" s="1">
        <v>13</v>
      </c>
      <c r="H12" s="33">
        <v>11</v>
      </c>
      <c r="I12" s="51">
        <v>9</v>
      </c>
      <c r="J12" s="1">
        <v>6</v>
      </c>
      <c r="K12" s="33">
        <v>13</v>
      </c>
    </row>
    <row r="13" spans="1:11">
      <c r="A13" s="10" t="s">
        <v>42</v>
      </c>
      <c r="B13" s="31" t="s">
        <v>60</v>
      </c>
      <c r="C13" s="32" t="s">
        <v>61</v>
      </c>
      <c r="D13" s="1">
        <v>15</v>
      </c>
      <c r="E13" s="33">
        <v>11</v>
      </c>
      <c r="F13" s="10">
        <v>0</v>
      </c>
      <c r="G13" s="1">
        <v>6</v>
      </c>
      <c r="H13" s="33">
        <v>5</v>
      </c>
      <c r="I13" s="51">
        <v>6</v>
      </c>
      <c r="J13" s="1">
        <v>5</v>
      </c>
      <c r="K13" s="33">
        <v>0</v>
      </c>
    </row>
    <row r="14" spans="1:11">
      <c r="A14" s="10" t="s">
        <v>42</v>
      </c>
      <c r="B14" s="31" t="s">
        <v>71</v>
      </c>
      <c r="C14" s="32" t="s">
        <v>72</v>
      </c>
      <c r="D14" s="1">
        <v>22</v>
      </c>
      <c r="E14" s="33">
        <v>15</v>
      </c>
      <c r="F14" s="10">
        <v>8</v>
      </c>
      <c r="G14" s="1">
        <v>4</v>
      </c>
      <c r="H14" s="33">
        <v>10</v>
      </c>
      <c r="I14" s="51">
        <v>6</v>
      </c>
      <c r="J14" s="1">
        <v>6</v>
      </c>
      <c r="K14" s="33">
        <v>3</v>
      </c>
    </row>
    <row r="15" ht="15.75" spans="1:11">
      <c r="A15" s="10" t="s">
        <v>42</v>
      </c>
      <c r="B15" s="31" t="s">
        <v>82</v>
      </c>
      <c r="C15" s="32" t="s">
        <v>83</v>
      </c>
      <c r="D15" s="1">
        <v>16</v>
      </c>
      <c r="E15" s="33">
        <v>12</v>
      </c>
      <c r="F15" s="10">
        <v>0</v>
      </c>
      <c r="G15" s="1">
        <v>10</v>
      </c>
      <c r="H15" s="33">
        <v>2</v>
      </c>
      <c r="I15" s="51">
        <v>8</v>
      </c>
      <c r="J15" s="1">
        <v>4</v>
      </c>
      <c r="K15" s="33">
        <v>0</v>
      </c>
    </row>
    <row r="16" ht="15.75" spans="1:11">
      <c r="A16" s="20" t="s">
        <v>870</v>
      </c>
      <c r="B16" s="21"/>
      <c r="C16" s="21"/>
      <c r="D16" s="21"/>
      <c r="E16" s="21"/>
      <c r="F16" s="21"/>
      <c r="G16" s="21"/>
      <c r="H16" s="21"/>
      <c r="I16" s="21"/>
      <c r="J16" s="21"/>
      <c r="K16" s="52">
        <v>16</v>
      </c>
    </row>
    <row r="17" ht="15.75"/>
    <row r="18" ht="21.75" spans="1:11">
      <c r="A18" s="34" t="s">
        <v>871</v>
      </c>
      <c r="B18" s="35"/>
      <c r="C18" s="35"/>
      <c r="D18" s="35"/>
      <c r="E18" s="35"/>
      <c r="F18" s="35"/>
      <c r="G18" s="35"/>
      <c r="H18" s="35"/>
      <c r="I18" s="48" t="s">
        <v>869</v>
      </c>
      <c r="J18" s="49"/>
      <c r="K18" s="50"/>
    </row>
    <row r="19" ht="45" spans="1:11">
      <c r="A19" s="28" t="s">
        <v>6</v>
      </c>
      <c r="B19" s="29" t="s">
        <v>0</v>
      </c>
      <c r="C19" s="29" t="s">
        <v>1</v>
      </c>
      <c r="D19" s="29" t="s">
        <v>481</v>
      </c>
      <c r="E19" s="30" t="s">
        <v>482</v>
      </c>
      <c r="F19" s="28" t="s">
        <v>483</v>
      </c>
      <c r="G19" s="29" t="s">
        <v>484</v>
      </c>
      <c r="H19" s="30" t="s">
        <v>485</v>
      </c>
      <c r="I19" s="28" t="s">
        <v>486</v>
      </c>
      <c r="J19" s="29" t="s">
        <v>487</v>
      </c>
      <c r="K19" s="30" t="s">
        <v>488</v>
      </c>
    </row>
    <row r="20" spans="1:11">
      <c r="A20" s="10" t="s">
        <v>588</v>
      </c>
      <c r="B20" s="32" t="s">
        <v>243</v>
      </c>
      <c r="C20" s="32" t="s">
        <v>244</v>
      </c>
      <c r="D20" s="1">
        <v>60</v>
      </c>
      <c r="E20" s="33">
        <v>44</v>
      </c>
      <c r="F20" s="10">
        <v>20</v>
      </c>
      <c r="G20" s="1">
        <v>12</v>
      </c>
      <c r="H20" s="33">
        <v>12</v>
      </c>
      <c r="I20" s="53">
        <v>16</v>
      </c>
      <c r="J20" s="1">
        <v>12</v>
      </c>
      <c r="K20" s="33">
        <v>16</v>
      </c>
    </row>
    <row r="21" spans="1:11">
      <c r="A21" s="10" t="s">
        <v>588</v>
      </c>
      <c r="B21" s="32" t="s">
        <v>257</v>
      </c>
      <c r="C21" s="32" t="s">
        <v>258</v>
      </c>
      <c r="D21" s="1">
        <v>24</v>
      </c>
      <c r="E21" s="33">
        <v>18</v>
      </c>
      <c r="F21" s="10">
        <v>0</v>
      </c>
      <c r="G21" s="1">
        <v>11</v>
      </c>
      <c r="H21" s="33">
        <v>7</v>
      </c>
      <c r="I21" s="53">
        <v>8</v>
      </c>
      <c r="J21" s="1">
        <v>6</v>
      </c>
      <c r="K21" s="33">
        <v>4</v>
      </c>
    </row>
    <row r="22" spans="1:11">
      <c r="A22" s="10" t="s">
        <v>588</v>
      </c>
      <c r="B22" s="32" t="s">
        <v>268</v>
      </c>
      <c r="C22" s="32" t="s">
        <v>269</v>
      </c>
      <c r="D22" s="1">
        <v>20</v>
      </c>
      <c r="E22" s="33">
        <v>16</v>
      </c>
      <c r="F22" s="10">
        <v>8</v>
      </c>
      <c r="G22" s="1">
        <v>4</v>
      </c>
      <c r="H22" s="33">
        <v>4</v>
      </c>
      <c r="I22" s="53">
        <v>7</v>
      </c>
      <c r="J22" s="1">
        <v>6</v>
      </c>
      <c r="K22" s="33">
        <v>3</v>
      </c>
    </row>
    <row r="23" spans="1:11">
      <c r="A23" s="10" t="s">
        <v>588</v>
      </c>
      <c r="B23" s="32" t="s">
        <v>281</v>
      </c>
      <c r="C23" s="32" t="s">
        <v>282</v>
      </c>
      <c r="D23" s="1">
        <v>10</v>
      </c>
      <c r="E23" s="33">
        <v>6</v>
      </c>
      <c r="F23" s="10">
        <v>4</v>
      </c>
      <c r="G23" s="1">
        <v>0</v>
      </c>
      <c r="H23" s="33">
        <v>2</v>
      </c>
      <c r="I23" s="53">
        <v>6</v>
      </c>
      <c r="J23" s="1">
        <v>4</v>
      </c>
      <c r="K23" s="33">
        <v>0</v>
      </c>
    </row>
    <row r="24" spans="1:11">
      <c r="A24" s="10" t="s">
        <v>588</v>
      </c>
      <c r="B24" s="32" t="s">
        <v>292</v>
      </c>
      <c r="C24" s="32" t="s">
        <v>293</v>
      </c>
      <c r="D24" s="1">
        <v>21</v>
      </c>
      <c r="E24" s="33">
        <v>17</v>
      </c>
      <c r="F24" s="10">
        <v>10</v>
      </c>
      <c r="G24" s="1">
        <v>4</v>
      </c>
      <c r="H24" s="33">
        <v>3</v>
      </c>
      <c r="I24" s="53">
        <v>5</v>
      </c>
      <c r="J24" s="1">
        <v>6</v>
      </c>
      <c r="K24" s="33">
        <v>6</v>
      </c>
    </row>
    <row r="25" spans="1:11">
      <c r="A25" s="10" t="s">
        <v>588</v>
      </c>
      <c r="B25" s="32" t="s">
        <v>303</v>
      </c>
      <c r="C25" s="32" t="s">
        <v>304</v>
      </c>
      <c r="D25" s="1">
        <v>25</v>
      </c>
      <c r="E25" s="33">
        <v>21</v>
      </c>
      <c r="F25" s="10">
        <v>4</v>
      </c>
      <c r="G25" s="1">
        <v>8</v>
      </c>
      <c r="H25" s="33">
        <v>9</v>
      </c>
      <c r="I25" s="53">
        <v>8</v>
      </c>
      <c r="J25" s="1">
        <v>6</v>
      </c>
      <c r="K25" s="33">
        <v>7</v>
      </c>
    </row>
    <row r="26" spans="1:11">
      <c r="A26" s="10" t="s">
        <v>588</v>
      </c>
      <c r="B26" s="32" t="s">
        <v>315</v>
      </c>
      <c r="C26" s="32" t="s">
        <v>316</v>
      </c>
      <c r="D26" s="1">
        <v>37</v>
      </c>
      <c r="E26" s="33">
        <v>33</v>
      </c>
      <c r="F26" s="10">
        <v>5</v>
      </c>
      <c r="G26" s="1">
        <v>13</v>
      </c>
      <c r="H26" s="33">
        <v>15</v>
      </c>
      <c r="I26" s="53">
        <v>13</v>
      </c>
      <c r="J26" s="1">
        <v>12</v>
      </c>
      <c r="K26" s="33">
        <v>8</v>
      </c>
    </row>
    <row r="27" spans="1:11">
      <c r="A27" s="10" t="s">
        <v>588</v>
      </c>
      <c r="B27" s="32" t="s">
        <v>327</v>
      </c>
      <c r="C27" s="32" t="s">
        <v>328</v>
      </c>
      <c r="D27" s="1">
        <v>26</v>
      </c>
      <c r="E27" s="33">
        <v>21</v>
      </c>
      <c r="F27" s="10">
        <v>9</v>
      </c>
      <c r="G27" s="1">
        <v>8</v>
      </c>
      <c r="H27" s="33">
        <v>4</v>
      </c>
      <c r="I27" s="53">
        <v>9</v>
      </c>
      <c r="J27" s="1">
        <v>6</v>
      </c>
      <c r="K27" s="33">
        <v>6</v>
      </c>
    </row>
    <row r="28" ht="15.75" spans="1:11">
      <c r="A28" s="15" t="s">
        <v>588</v>
      </c>
      <c r="B28" s="36" t="s">
        <v>339</v>
      </c>
      <c r="C28" s="36" t="s">
        <v>340</v>
      </c>
      <c r="D28" s="16">
        <v>41</v>
      </c>
      <c r="E28" s="37">
        <v>36</v>
      </c>
      <c r="F28" s="15">
        <v>22</v>
      </c>
      <c r="G28" s="16">
        <v>6</v>
      </c>
      <c r="H28" s="37">
        <v>8</v>
      </c>
      <c r="I28" s="53">
        <v>12</v>
      </c>
      <c r="J28" s="16">
        <v>12</v>
      </c>
      <c r="K28" s="33">
        <v>12</v>
      </c>
    </row>
    <row r="29" ht="15.75" spans="1:11">
      <c r="A29" s="20" t="s">
        <v>872</v>
      </c>
      <c r="B29" s="21"/>
      <c r="C29" s="21"/>
      <c r="D29" s="21"/>
      <c r="E29" s="21"/>
      <c r="F29" s="21"/>
      <c r="G29" s="21"/>
      <c r="H29" s="21"/>
      <c r="I29" s="21"/>
      <c r="J29" s="21"/>
      <c r="K29" s="52">
        <v>62</v>
      </c>
    </row>
    <row r="30" ht="15.75"/>
    <row r="31" ht="21.75" spans="1:11">
      <c r="A31" s="25" t="s">
        <v>873</v>
      </c>
      <c r="B31" s="26"/>
      <c r="C31" s="26"/>
      <c r="D31" s="26"/>
      <c r="E31" s="26"/>
      <c r="F31" s="26"/>
      <c r="G31" s="26"/>
      <c r="H31" s="27"/>
      <c r="I31" s="48" t="s">
        <v>869</v>
      </c>
      <c r="J31" s="49"/>
      <c r="K31" s="50"/>
    </row>
    <row r="32" ht="45" spans="1:11">
      <c r="A32" s="28" t="s">
        <v>6</v>
      </c>
      <c r="B32" s="29" t="s">
        <v>0</v>
      </c>
      <c r="C32" s="29" t="s">
        <v>1</v>
      </c>
      <c r="D32" s="29" t="s">
        <v>481</v>
      </c>
      <c r="E32" s="30" t="s">
        <v>675</v>
      </c>
      <c r="F32" s="29" t="s">
        <v>483</v>
      </c>
      <c r="G32" s="29" t="s">
        <v>484</v>
      </c>
      <c r="H32" s="30" t="s">
        <v>485</v>
      </c>
      <c r="I32" s="28" t="s">
        <v>486</v>
      </c>
      <c r="J32" s="29" t="s">
        <v>487</v>
      </c>
      <c r="K32" s="30" t="s">
        <v>488</v>
      </c>
    </row>
    <row r="33" spans="1:11">
      <c r="A33" s="10" t="s">
        <v>596</v>
      </c>
      <c r="B33" s="32" t="s">
        <v>366</v>
      </c>
      <c r="C33" s="32" t="s">
        <v>367</v>
      </c>
      <c r="D33" s="1">
        <v>87</v>
      </c>
      <c r="E33" s="33">
        <v>68</v>
      </c>
      <c r="F33" s="1">
        <v>34</v>
      </c>
      <c r="G33" s="1">
        <v>15</v>
      </c>
      <c r="H33" s="33">
        <v>19</v>
      </c>
      <c r="I33" s="53">
        <v>23</v>
      </c>
      <c r="J33" s="1">
        <v>12</v>
      </c>
      <c r="K33" s="33">
        <v>33</v>
      </c>
    </row>
    <row r="34" spans="1:11">
      <c r="A34" s="10" t="s">
        <v>596</v>
      </c>
      <c r="B34" s="32" t="s">
        <v>379</v>
      </c>
      <c r="C34" s="32" t="s">
        <v>380</v>
      </c>
      <c r="D34" s="1">
        <v>31</v>
      </c>
      <c r="E34" s="33">
        <v>23</v>
      </c>
      <c r="F34" s="1">
        <v>7</v>
      </c>
      <c r="G34" s="1">
        <v>11</v>
      </c>
      <c r="H34" s="33">
        <v>5</v>
      </c>
      <c r="I34" s="53">
        <v>10</v>
      </c>
      <c r="J34" s="1">
        <v>9</v>
      </c>
      <c r="K34" s="33">
        <v>5</v>
      </c>
    </row>
    <row r="35" spans="1:11">
      <c r="A35" s="10" t="s">
        <v>596</v>
      </c>
      <c r="B35" s="32" t="s">
        <v>396</v>
      </c>
      <c r="C35" s="32" t="s">
        <v>397</v>
      </c>
      <c r="D35" s="1">
        <v>70</v>
      </c>
      <c r="E35" s="33">
        <v>56</v>
      </c>
      <c r="F35" s="1">
        <v>32</v>
      </c>
      <c r="G35" s="1">
        <v>12</v>
      </c>
      <c r="H35" s="33">
        <v>12</v>
      </c>
      <c r="I35" s="53">
        <v>41</v>
      </c>
      <c r="J35" s="1">
        <v>12</v>
      </c>
      <c r="K35" s="33">
        <v>1</v>
      </c>
    </row>
    <row r="36" spans="1:11">
      <c r="A36" s="10" t="s">
        <v>596</v>
      </c>
      <c r="B36" s="32" t="s">
        <v>428</v>
      </c>
      <c r="C36" s="32" t="s">
        <v>429</v>
      </c>
      <c r="D36" s="1">
        <v>47</v>
      </c>
      <c r="E36" s="33">
        <v>36</v>
      </c>
      <c r="F36" s="1">
        <v>8</v>
      </c>
      <c r="G36" s="1">
        <v>5</v>
      </c>
      <c r="H36" s="33">
        <v>23</v>
      </c>
      <c r="I36" s="53">
        <v>20</v>
      </c>
      <c r="J36" s="1">
        <v>12</v>
      </c>
      <c r="K36" s="33">
        <v>4</v>
      </c>
    </row>
    <row r="37" spans="1:11">
      <c r="A37" s="10" t="s">
        <v>596</v>
      </c>
      <c r="B37" s="32" t="s">
        <v>443</v>
      </c>
      <c r="C37" s="32" t="s">
        <v>444</v>
      </c>
      <c r="D37" s="1">
        <v>30</v>
      </c>
      <c r="E37" s="33">
        <v>22</v>
      </c>
      <c r="F37" s="1">
        <v>15</v>
      </c>
      <c r="G37" s="1">
        <v>3</v>
      </c>
      <c r="H37" s="33">
        <v>4</v>
      </c>
      <c r="I37" s="53">
        <v>14</v>
      </c>
      <c r="J37" s="1">
        <v>6</v>
      </c>
      <c r="K37" s="33">
        <v>3</v>
      </c>
    </row>
    <row r="38" spans="1:11">
      <c r="A38" s="10" t="s">
        <v>596</v>
      </c>
      <c r="B38" s="32" t="s">
        <v>456</v>
      </c>
      <c r="C38" s="32" t="s">
        <v>457</v>
      </c>
      <c r="D38" s="1">
        <v>9</v>
      </c>
      <c r="E38" s="33">
        <v>6</v>
      </c>
      <c r="F38" s="1">
        <v>0</v>
      </c>
      <c r="G38" s="1">
        <v>0</v>
      </c>
      <c r="H38" s="33">
        <v>6</v>
      </c>
      <c r="I38" s="53">
        <v>10</v>
      </c>
      <c r="J38" s="1">
        <v>2</v>
      </c>
      <c r="K38" s="33">
        <v>-4</v>
      </c>
    </row>
    <row r="39" ht="15.75" spans="1:11">
      <c r="A39" s="15" t="s">
        <v>596</v>
      </c>
      <c r="B39" s="36" t="s">
        <v>468</v>
      </c>
      <c r="C39" s="36" t="s">
        <v>469</v>
      </c>
      <c r="D39" s="16">
        <v>17</v>
      </c>
      <c r="E39" s="37">
        <v>13</v>
      </c>
      <c r="F39" s="16">
        <v>6</v>
      </c>
      <c r="G39" s="16">
        <v>2</v>
      </c>
      <c r="H39" s="37">
        <v>5</v>
      </c>
      <c r="I39" s="54">
        <v>9</v>
      </c>
      <c r="J39" s="16">
        <v>2</v>
      </c>
      <c r="K39" s="33">
        <v>4</v>
      </c>
    </row>
    <row r="40" ht="15.75" spans="1:11">
      <c r="A40" s="20" t="s">
        <v>874</v>
      </c>
      <c r="B40" s="21"/>
      <c r="C40" s="21"/>
      <c r="D40" s="21"/>
      <c r="E40" s="21"/>
      <c r="F40" s="21"/>
      <c r="G40" s="21"/>
      <c r="H40" s="21"/>
      <c r="I40" s="21"/>
      <c r="J40" s="21"/>
      <c r="K40" s="52">
        <v>46</v>
      </c>
    </row>
    <row r="41" ht="15.75"/>
    <row r="42" ht="21.75" spans="1:11">
      <c r="A42" s="34" t="s">
        <v>875</v>
      </c>
      <c r="B42" s="35"/>
      <c r="C42" s="35"/>
      <c r="D42" s="35"/>
      <c r="E42" s="35"/>
      <c r="F42" s="35"/>
      <c r="G42" s="35"/>
      <c r="H42" s="38"/>
      <c r="I42" s="55" t="s">
        <v>674</v>
      </c>
      <c r="J42" s="56"/>
      <c r="K42" s="57"/>
    </row>
    <row r="43" ht="45" spans="1:11">
      <c r="A43" s="28" t="s">
        <v>6</v>
      </c>
      <c r="B43" s="29" t="s">
        <v>0</v>
      </c>
      <c r="C43" s="29" t="s">
        <v>1</v>
      </c>
      <c r="D43" s="29" t="s">
        <v>481</v>
      </c>
      <c r="E43" s="30" t="s">
        <v>675</v>
      </c>
      <c r="F43" s="29" t="s">
        <v>483</v>
      </c>
      <c r="G43" s="29" t="s">
        <v>484</v>
      </c>
      <c r="H43" s="30" t="s">
        <v>485</v>
      </c>
      <c r="I43" s="28" t="s">
        <v>486</v>
      </c>
      <c r="J43" s="29" t="s">
        <v>487</v>
      </c>
      <c r="K43" s="30" t="s">
        <v>488</v>
      </c>
    </row>
    <row r="44" spans="1:11">
      <c r="A44" s="10" t="s">
        <v>676</v>
      </c>
      <c r="B44" s="32" t="s">
        <v>107</v>
      </c>
      <c r="C44" s="32" t="s">
        <v>108</v>
      </c>
      <c r="D44" s="1">
        <v>57</v>
      </c>
      <c r="E44" s="33">
        <v>47</v>
      </c>
      <c r="F44" s="1">
        <v>0</v>
      </c>
      <c r="G44" s="1">
        <v>28</v>
      </c>
      <c r="H44" s="33">
        <v>19</v>
      </c>
      <c r="I44" s="58">
        <v>17</v>
      </c>
      <c r="J44" s="1">
        <v>12</v>
      </c>
      <c r="K44" s="33">
        <v>18</v>
      </c>
    </row>
    <row r="45" spans="1:11">
      <c r="A45" s="10" t="s">
        <v>676</v>
      </c>
      <c r="B45" s="32" t="s">
        <v>122</v>
      </c>
      <c r="C45" s="32" t="s">
        <v>123</v>
      </c>
      <c r="D45" s="1">
        <v>30</v>
      </c>
      <c r="E45" s="33">
        <v>26</v>
      </c>
      <c r="F45" s="1">
        <v>17</v>
      </c>
      <c r="G45" s="1">
        <v>5</v>
      </c>
      <c r="H45" s="33">
        <v>4</v>
      </c>
      <c r="I45" s="58">
        <v>13</v>
      </c>
      <c r="J45" s="1">
        <v>6</v>
      </c>
      <c r="K45" s="33">
        <v>6</v>
      </c>
    </row>
    <row r="46" spans="1:11">
      <c r="A46" s="10" t="s">
        <v>676</v>
      </c>
      <c r="B46" s="32" t="s">
        <v>148</v>
      </c>
      <c r="C46" s="32" t="s">
        <v>149</v>
      </c>
      <c r="D46" s="1">
        <v>19</v>
      </c>
      <c r="E46" s="33">
        <v>16</v>
      </c>
      <c r="F46" s="1">
        <v>3</v>
      </c>
      <c r="G46" s="1">
        <v>8</v>
      </c>
      <c r="H46" s="33">
        <v>5</v>
      </c>
      <c r="I46" s="58">
        <v>15</v>
      </c>
      <c r="J46" s="1">
        <v>6</v>
      </c>
      <c r="K46" s="33">
        <v>0</v>
      </c>
    </row>
    <row r="47" spans="1:11">
      <c r="A47" s="10" t="s">
        <v>676</v>
      </c>
      <c r="B47" s="32" t="s">
        <v>163</v>
      </c>
      <c r="C47" s="32" t="s">
        <v>164</v>
      </c>
      <c r="D47" s="1">
        <v>11</v>
      </c>
      <c r="E47" s="33">
        <v>9</v>
      </c>
      <c r="F47" s="1">
        <v>4</v>
      </c>
      <c r="G47" s="1">
        <v>5</v>
      </c>
      <c r="H47" s="33">
        <v>0</v>
      </c>
      <c r="I47" s="58">
        <v>11</v>
      </c>
      <c r="J47" s="1">
        <v>4</v>
      </c>
      <c r="K47" s="33">
        <v>0</v>
      </c>
    </row>
    <row r="48" ht="15.75" spans="1:11">
      <c r="A48" s="15" t="s">
        <v>676</v>
      </c>
      <c r="B48" s="36" t="s">
        <v>174</v>
      </c>
      <c r="C48" s="36" t="s">
        <v>175</v>
      </c>
      <c r="D48" s="16">
        <v>12</v>
      </c>
      <c r="E48" s="37">
        <v>9</v>
      </c>
      <c r="F48" s="16">
        <v>0</v>
      </c>
      <c r="G48" s="16">
        <v>3</v>
      </c>
      <c r="H48" s="37">
        <v>6</v>
      </c>
      <c r="I48" s="58">
        <v>4</v>
      </c>
      <c r="J48" s="16">
        <v>3</v>
      </c>
      <c r="K48" s="33">
        <v>2</v>
      </c>
    </row>
    <row r="49" ht="15.75" spans="1:11">
      <c r="A49" s="20" t="s">
        <v>876</v>
      </c>
      <c r="B49" s="21"/>
      <c r="C49" s="21"/>
      <c r="D49" s="21"/>
      <c r="E49" s="21"/>
      <c r="F49" s="21"/>
      <c r="G49" s="21"/>
      <c r="H49" s="21"/>
      <c r="I49" s="21"/>
      <c r="J49" s="21"/>
      <c r="K49" s="52">
        <v>26</v>
      </c>
    </row>
  </sheetData>
  <mergeCells count="22">
    <mergeCell ref="A1:B1"/>
    <mergeCell ref="A2:B2"/>
    <mergeCell ref="A3:B3"/>
    <mergeCell ref="A4:B4"/>
    <mergeCell ref="A5:B5"/>
    <mergeCell ref="A6:B6"/>
    <mergeCell ref="A9:H9"/>
    <mergeCell ref="I9:K9"/>
    <mergeCell ref="A16:J16"/>
    <mergeCell ref="A17:K17"/>
    <mergeCell ref="A18:H18"/>
    <mergeCell ref="I18:K18"/>
    <mergeCell ref="A29:J29"/>
    <mergeCell ref="A30:K30"/>
    <mergeCell ref="A31:H31"/>
    <mergeCell ref="I31:K31"/>
    <mergeCell ref="A40:J40"/>
    <mergeCell ref="A41:K41"/>
    <mergeCell ref="A42:H42"/>
    <mergeCell ref="I42:K42"/>
    <mergeCell ref="A49:J49"/>
    <mergeCell ref="A50:AF103"/>
  </mergeCells>
  <conditionalFormatting sqref="D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{820134f5-16b0-4dd4-b0fb-6f48605c6fc6}</x14:id>
        </ext>
      </extLst>
    </cfRule>
  </conditionalFormatting>
  <conditionalFormatting sqref="F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{31b4eb47-1ad4-4e1e-b568-e873b0bf0c25}</x14:id>
        </ext>
      </extLst>
    </cfRule>
  </conditionalFormatting>
  <conditionalFormatting sqref="D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{f659c0a9-36bf-41ab-b812-aca2eb1ba492}</x14:id>
        </ext>
      </extLst>
    </cfRule>
  </conditionalFormatting>
  <conditionalFormatting sqref="F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{074da753-9109-4527-abae-c513f80c4dbf}</x14:id>
        </ext>
      </extLst>
    </cfRule>
  </conditionalFormatting>
  <conditionalFormatting sqref="D3:D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{81a568b6-62f6-4325-bdeb-dceab923edf3}</x14:id>
        </ext>
      </extLst>
    </cfRule>
  </conditionalFormatting>
  <conditionalFormatting sqref="F3:F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{6a33eb5f-ff4f-48ca-9cfa-4678f8490b5b}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0134f5-16b0-4dd4-b0fb-6f48605c6f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31b4eb47-1ad4-4e1e-b568-e873b0bf0c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</xm:sqref>
        </x14:conditionalFormatting>
        <x14:conditionalFormatting xmlns:xm="http://schemas.microsoft.com/office/excel/2006/main">
          <x14:cfRule type="dataBar" id="{f659c0a9-36bf-41ab-b812-aca2eb1ba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</xm:sqref>
        </x14:conditionalFormatting>
        <x14:conditionalFormatting xmlns:xm="http://schemas.microsoft.com/office/excel/2006/main">
          <x14:cfRule type="dataBar" id="{074da753-9109-4527-abae-c513f80c4d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</xm:sqref>
        </x14:conditionalFormatting>
        <x14:conditionalFormatting xmlns:xm="http://schemas.microsoft.com/office/excel/2006/main">
          <x14:cfRule type="dataBar" id="{81a568b6-62f6-4325-bdeb-dceab923ed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</xm:sqref>
        </x14:conditionalFormatting>
        <x14:conditionalFormatting xmlns:xm="http://schemas.microsoft.com/office/excel/2006/main">
          <x14:cfRule type="dataBar" id="{6a33eb5f-ff4f-48ca-9cfa-4678f8490b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F3:F5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plantas</vt:lpstr>
      <vt:lpstr>SUR</vt:lpstr>
      <vt:lpstr>CUYO NOA</vt:lpstr>
      <vt:lpstr>CENTRO NEA</vt:lpstr>
      <vt:lpstr>PBA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dporcel</dc:creator>
  <cp:lastModifiedBy>dporcel</cp:lastModifiedBy>
  <dcterms:created xsi:type="dcterms:W3CDTF">2026-08-03T17:14:00Z</dcterms:created>
  <dcterms:modified xsi:type="dcterms:W3CDTF">2026-09-08T23:28:26Z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2058-11.2.0.10017</vt:lpwstr>
  </property>
</Properties>
</file>